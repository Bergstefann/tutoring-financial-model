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homa\tutoring-financial-model\workbook\"/>
    </mc:Choice>
  </mc:AlternateContent>
  <xr:revisionPtr revIDLastSave="0" documentId="13_ncr:1_{A5F98863-97A7-4BFD-A9BA-251961465D1A}" xr6:coauthVersionLast="47" xr6:coauthVersionMax="47" xr10:uidLastSave="{00000000-0000-0000-0000-000000000000}"/>
  <bookViews>
    <workbookView xWindow="-108" yWindow="-108" windowWidth="23256" windowHeight="13896" xr2:uid="{00000000-000D-0000-FFFF-FFFF00000000}"/>
  </bookViews>
  <sheets>
    <sheet name="README" sheetId="1" r:id="rId1"/>
    <sheet name="Assumptions" sheetId="2" r:id="rId2"/>
    <sheet name="Data" sheetId="3" r:id="rId3"/>
    <sheet name="Revenue by student" sheetId="4" r:id="rId4"/>
    <sheet name="Cost to serve" sheetId="5" r:id="rId5"/>
    <sheet name="Capacity" sheetId="6" r:id="rId6"/>
    <sheet name="P&amp;L and provisioning" sheetId="7" r:id="rId7"/>
    <sheet name="Scenarios" sheetId="8" r:id="rId8"/>
    <sheet name="Sensitivity"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8" l="1"/>
  <c r="D6" i="8"/>
  <c r="C6" i="8"/>
  <c r="B6" i="8"/>
  <c r="B4" i="6"/>
  <c r="B44" i="5"/>
  <c r="A44" i="5"/>
  <c r="F43" i="5"/>
  <c r="A43" i="5"/>
  <c r="F42" i="5"/>
  <c r="B42" i="5"/>
  <c r="A42" i="5"/>
  <c r="F41" i="5"/>
  <c r="A41" i="5"/>
  <c r="A40" i="5"/>
  <c r="F39" i="5"/>
  <c r="B39" i="5"/>
  <c r="A39" i="5"/>
  <c r="A38" i="5"/>
  <c r="A37" i="5"/>
  <c r="A36" i="5"/>
  <c r="A35" i="5"/>
  <c r="F34" i="5"/>
  <c r="B34" i="5"/>
  <c r="A34" i="5"/>
  <c r="F33" i="5"/>
  <c r="A33" i="5"/>
  <c r="B32" i="5"/>
  <c r="A32" i="5"/>
  <c r="F31" i="5"/>
  <c r="A31" i="5"/>
  <c r="A30" i="5"/>
  <c r="A29" i="5"/>
  <c r="A28" i="5"/>
  <c r="A27" i="5"/>
  <c r="A26" i="5"/>
  <c r="A25" i="5"/>
  <c r="A24" i="5"/>
  <c r="A23" i="5"/>
  <c r="F22" i="5"/>
  <c r="A22" i="5"/>
  <c r="A21" i="5"/>
  <c r="A20" i="5"/>
  <c r="F19" i="5"/>
  <c r="A19" i="5"/>
  <c r="A18" i="5"/>
  <c r="A17" i="5"/>
  <c r="A16" i="5"/>
  <c r="A15" i="5"/>
  <c r="F14" i="5"/>
  <c r="B14" i="5"/>
  <c r="A14" i="5"/>
  <c r="F13" i="5"/>
  <c r="A13" i="5"/>
  <c r="A12" i="5"/>
  <c r="A11" i="5"/>
  <c r="B10" i="5"/>
  <c r="A10" i="5"/>
  <c r="F9" i="5"/>
  <c r="B9" i="5"/>
  <c r="A9" i="5"/>
  <c r="A8" i="5"/>
  <c r="E40" i="4"/>
  <c r="D40" i="4"/>
  <c r="C40" i="4"/>
  <c r="B40" i="4"/>
  <c r="E39" i="4"/>
  <c r="D39" i="4"/>
  <c r="C39" i="4"/>
  <c r="B43" i="5" s="1"/>
  <c r="B39" i="4"/>
  <c r="E38" i="4"/>
  <c r="D38" i="4"/>
  <c r="C38" i="4"/>
  <c r="B38" i="4"/>
  <c r="E37" i="4"/>
  <c r="D37" i="4"/>
  <c r="C37" i="4"/>
  <c r="B41" i="5" s="1"/>
  <c r="B37" i="4"/>
  <c r="E36" i="4"/>
  <c r="F40" i="5" s="1"/>
  <c r="D36" i="4"/>
  <c r="C36" i="4"/>
  <c r="B40" i="5" s="1"/>
  <c r="B36" i="4"/>
  <c r="E35" i="4"/>
  <c r="D35" i="4"/>
  <c r="C35" i="4"/>
  <c r="B35" i="4"/>
  <c r="E34" i="4"/>
  <c r="F38" i="5" s="1"/>
  <c r="D34" i="4"/>
  <c r="C34" i="4"/>
  <c r="B38" i="5" s="1"/>
  <c r="B34" i="4"/>
  <c r="E33" i="4"/>
  <c r="F37" i="5" s="1"/>
  <c r="D33" i="4"/>
  <c r="C33" i="4"/>
  <c r="B37" i="5" s="1"/>
  <c r="B33" i="4"/>
  <c r="E32" i="4"/>
  <c r="D32" i="4"/>
  <c r="C32" i="4"/>
  <c r="B36" i="5" s="1"/>
  <c r="B32" i="4"/>
  <c r="E31" i="4"/>
  <c r="F35" i="5" s="1"/>
  <c r="D31" i="4"/>
  <c r="C31" i="4"/>
  <c r="B35" i="5" s="1"/>
  <c r="B31" i="4"/>
  <c r="E30" i="4"/>
  <c r="D30" i="4"/>
  <c r="C30" i="4"/>
  <c r="B30" i="4"/>
  <c r="E29" i="4"/>
  <c r="D29" i="4"/>
  <c r="C29" i="4"/>
  <c r="B33" i="5" s="1"/>
  <c r="B29" i="4"/>
  <c r="E28" i="4"/>
  <c r="F32" i="5" s="1"/>
  <c r="D28" i="4"/>
  <c r="C28" i="4"/>
  <c r="B28" i="4"/>
  <c r="E27" i="4"/>
  <c r="D27" i="4"/>
  <c r="C27" i="4"/>
  <c r="B31" i="5" s="1"/>
  <c r="B27" i="4"/>
  <c r="E26" i="4"/>
  <c r="D26" i="4"/>
  <c r="C26" i="4"/>
  <c r="B30" i="5" s="1"/>
  <c r="B26" i="4"/>
  <c r="E25" i="4"/>
  <c r="F29" i="5" s="1"/>
  <c r="D25" i="4"/>
  <c r="C25" i="4"/>
  <c r="B29" i="5" s="1"/>
  <c r="B25" i="4"/>
  <c r="E24" i="4"/>
  <c r="F28" i="5" s="1"/>
  <c r="D24" i="4"/>
  <c r="C24" i="4"/>
  <c r="B28" i="5" s="1"/>
  <c r="B24" i="4"/>
  <c r="E23" i="4"/>
  <c r="F27" i="5" s="1"/>
  <c r="D23" i="4"/>
  <c r="C23" i="4"/>
  <c r="B27" i="5" s="1"/>
  <c r="B23" i="4"/>
  <c r="E22" i="4"/>
  <c r="D22" i="4"/>
  <c r="C22" i="4"/>
  <c r="B26" i="5" s="1"/>
  <c r="B22" i="4"/>
  <c r="E21" i="4"/>
  <c r="F25" i="5" s="1"/>
  <c r="D21" i="4"/>
  <c r="C21" i="4"/>
  <c r="B25" i="5" s="1"/>
  <c r="B21" i="4"/>
  <c r="E20" i="4"/>
  <c r="F24" i="5" s="1"/>
  <c r="D20" i="4"/>
  <c r="C20" i="4"/>
  <c r="B24" i="5" s="1"/>
  <c r="B20" i="4"/>
  <c r="E19" i="4"/>
  <c r="F23" i="5" s="1"/>
  <c r="D19" i="4"/>
  <c r="C19" i="4"/>
  <c r="B23" i="5" s="1"/>
  <c r="B19" i="4"/>
  <c r="E18" i="4"/>
  <c r="D18" i="4"/>
  <c r="C18" i="4"/>
  <c r="B22" i="5" s="1"/>
  <c r="B18" i="4"/>
  <c r="E17" i="4"/>
  <c r="F21" i="5" s="1"/>
  <c r="D17" i="4"/>
  <c r="C17" i="4"/>
  <c r="B21" i="5" s="1"/>
  <c r="B17" i="4"/>
  <c r="E16" i="4"/>
  <c r="F20" i="5" s="1"/>
  <c r="D16" i="4"/>
  <c r="C16" i="4"/>
  <c r="B20" i="5" s="1"/>
  <c r="B16" i="4"/>
  <c r="E15" i="4"/>
  <c r="D15" i="4"/>
  <c r="F15" i="4" s="1"/>
  <c r="C15" i="4"/>
  <c r="B19" i="5" s="1"/>
  <c r="B15" i="4"/>
  <c r="E14" i="4"/>
  <c r="D14" i="4"/>
  <c r="C14" i="4"/>
  <c r="B18" i="5" s="1"/>
  <c r="B14" i="4"/>
  <c r="E13" i="4"/>
  <c r="F17" i="5" s="1"/>
  <c r="D13" i="4"/>
  <c r="C13" i="4"/>
  <c r="B17" i="5" s="1"/>
  <c r="B13" i="4"/>
  <c r="E12" i="4"/>
  <c r="F16" i="5" s="1"/>
  <c r="D12" i="4"/>
  <c r="C12" i="4"/>
  <c r="B16" i="5" s="1"/>
  <c r="B12" i="4"/>
  <c r="E11" i="4"/>
  <c r="F15" i="5" s="1"/>
  <c r="D11" i="4"/>
  <c r="C11" i="4"/>
  <c r="B15" i="5" s="1"/>
  <c r="B11" i="4"/>
  <c r="E10" i="4"/>
  <c r="D10" i="4"/>
  <c r="C10" i="4"/>
  <c r="B10" i="4"/>
  <c r="E9" i="4"/>
  <c r="D9" i="4"/>
  <c r="C9" i="4"/>
  <c r="B13" i="5" s="1"/>
  <c r="B9" i="4"/>
  <c r="E8" i="4"/>
  <c r="F12" i="5" s="1"/>
  <c r="D8" i="4"/>
  <c r="C8" i="4"/>
  <c r="B12" i="5" s="1"/>
  <c r="B8" i="4"/>
  <c r="E7" i="4"/>
  <c r="F11" i="5" s="1"/>
  <c r="D7" i="4"/>
  <c r="C7" i="4"/>
  <c r="B11" i="5" s="1"/>
  <c r="B7" i="4"/>
  <c r="E6" i="4"/>
  <c r="F6" i="4" s="1"/>
  <c r="D6" i="4"/>
  <c r="C6" i="4"/>
  <c r="B6" i="4"/>
  <c r="E5" i="4"/>
  <c r="D5" i="4"/>
  <c r="C5" i="4"/>
  <c r="B5" i="4"/>
  <c r="E4" i="4"/>
  <c r="D4" i="4"/>
  <c r="C4" i="4"/>
  <c r="B8" i="5" s="1"/>
  <c r="B4" i="4"/>
  <c r="B31" i="2"/>
  <c r="B25" i="2"/>
  <c r="B5" i="5" s="1"/>
  <c r="B21" i="2"/>
  <c r="B5" i="6" s="1"/>
  <c r="B16" i="6" s="1"/>
  <c r="B18" i="2"/>
  <c r="B30" i="2" s="1"/>
  <c r="B32" i="2" s="1"/>
  <c r="B9" i="2"/>
  <c r="F22" i="4" l="1"/>
  <c r="D41" i="4"/>
  <c r="B9" i="6" s="1"/>
  <c r="B11" i="6" s="1"/>
  <c r="B14" i="7"/>
  <c r="F10" i="4"/>
  <c r="F12" i="4"/>
  <c r="F39" i="4"/>
  <c r="F26" i="5"/>
  <c r="F32" i="4"/>
  <c r="B41" i="4"/>
  <c r="B13" i="6" s="1"/>
  <c r="F35" i="4"/>
  <c r="F40" i="4"/>
  <c r="F26" i="4"/>
  <c r="F27" i="4"/>
  <c r="F18" i="4"/>
  <c r="F38" i="4"/>
  <c r="F14" i="4"/>
  <c r="F19" i="4"/>
  <c r="F34" i="4"/>
  <c r="F36" i="5"/>
  <c r="F30" i="4"/>
  <c r="F18" i="5"/>
  <c r="D8" i="8"/>
  <c r="B8" i="8"/>
  <c r="C8" i="8"/>
  <c r="B4" i="5"/>
  <c r="C19" i="5"/>
  <c r="C33" i="5"/>
  <c r="F20" i="4"/>
  <c r="F29" i="4"/>
  <c r="F7" i="4"/>
  <c r="F8" i="4"/>
  <c r="F17" i="4"/>
  <c r="E41" i="4"/>
  <c r="F44" i="5"/>
  <c r="F11" i="4"/>
  <c r="F4" i="4"/>
  <c r="B6" i="6"/>
  <c r="B7" i="6" s="1"/>
  <c r="C23" i="5"/>
  <c r="F23" i="4"/>
  <c r="F16" i="4"/>
  <c r="F25" i="4"/>
  <c r="F31" i="4"/>
  <c r="F9" i="4"/>
  <c r="F5" i="4"/>
  <c r="F36" i="4"/>
  <c r="C41" i="4"/>
  <c r="C12" i="5" s="1"/>
  <c r="C30" i="5"/>
  <c r="C8" i="5"/>
  <c r="B45" i="5"/>
  <c r="F24" i="4"/>
  <c r="F28" i="4"/>
  <c r="F37" i="4"/>
  <c r="F8" i="5"/>
  <c r="F21" i="4"/>
  <c r="F10" i="5"/>
  <c r="F30" i="5"/>
  <c r="F13" i="4"/>
  <c r="F33" i="4"/>
  <c r="C9" i="5" l="1"/>
  <c r="C39" i="5"/>
  <c r="E12" i="5"/>
  <c r="H12" i="5" s="1"/>
  <c r="D12" i="5"/>
  <c r="G12" i="5" s="1"/>
  <c r="D8" i="5"/>
  <c r="E8" i="5"/>
  <c r="E9" i="5"/>
  <c r="H9" i="5" s="1"/>
  <c r="D9" i="5"/>
  <c r="G9" i="5" s="1"/>
  <c r="D33" i="5"/>
  <c r="G33" i="5" s="1"/>
  <c r="E33" i="5"/>
  <c r="H33" i="5" s="1"/>
  <c r="C43" i="5"/>
  <c r="C44" i="5"/>
  <c r="C42" i="5"/>
  <c r="C28" i="5"/>
  <c r="C18" i="5"/>
  <c r="C22" i="5"/>
  <c r="C17" i="5"/>
  <c r="D23" i="5"/>
  <c r="G23" i="5" s="1"/>
  <c r="E23" i="5"/>
  <c r="H23" i="5" s="1"/>
  <c r="E19" i="5"/>
  <c r="H19" i="5" s="1"/>
  <c r="D19" i="5"/>
  <c r="G19" i="5" s="1"/>
  <c r="C14" i="5"/>
  <c r="B10" i="6"/>
  <c r="C40" i="5"/>
  <c r="C13" i="5"/>
  <c r="E30" i="5"/>
  <c r="H30" i="5" s="1"/>
  <c r="D30" i="5"/>
  <c r="E39" i="5"/>
  <c r="H39" i="5" s="1"/>
  <c r="D39" i="5"/>
  <c r="G39" i="5" s="1"/>
  <c r="F45" i="5"/>
  <c r="G8" i="5"/>
  <c r="C36" i="5"/>
  <c r="C20" i="5"/>
  <c r="C26" i="5"/>
  <c r="C34" i="5"/>
  <c r="C15" i="5"/>
  <c r="C10" i="5"/>
  <c r="C32" i="5"/>
  <c r="C25" i="5"/>
  <c r="C37" i="5"/>
  <c r="C38" i="5"/>
  <c r="F41" i="4"/>
  <c r="B4" i="7"/>
  <c r="B17" i="6"/>
  <c r="C27" i="5"/>
  <c r="C41" i="5"/>
  <c r="C21" i="5"/>
  <c r="C35" i="5"/>
  <c r="C29" i="5"/>
  <c r="C31" i="5"/>
  <c r="C24" i="5"/>
  <c r="C11" i="5"/>
  <c r="G30" i="5"/>
  <c r="C16" i="5"/>
  <c r="E37" i="5" l="1"/>
  <c r="H37" i="5" s="1"/>
  <c r="D37" i="5"/>
  <c r="G37" i="5" s="1"/>
  <c r="E25" i="5"/>
  <c r="H25" i="5" s="1"/>
  <c r="D25" i="5"/>
  <c r="G25" i="5" s="1"/>
  <c r="E17" i="5"/>
  <c r="H17" i="5" s="1"/>
  <c r="D17" i="5"/>
  <c r="G17" i="5" s="1"/>
  <c r="E34" i="5"/>
  <c r="H34" i="5" s="1"/>
  <c r="D34" i="5"/>
  <c r="G34" i="5" s="1"/>
  <c r="D18" i="5"/>
  <c r="G18" i="5" s="1"/>
  <c r="E18" i="5"/>
  <c r="H18" i="5" s="1"/>
  <c r="E20" i="5"/>
  <c r="H20" i="5" s="1"/>
  <c r="D20" i="5"/>
  <c r="G20" i="5" s="1"/>
  <c r="D28" i="5"/>
  <c r="G28" i="5" s="1"/>
  <c r="E28" i="5"/>
  <c r="H28" i="5" s="1"/>
  <c r="E44" i="5"/>
  <c r="H44" i="5" s="1"/>
  <c r="D44" i="5"/>
  <c r="G44" i="5" s="1"/>
  <c r="E14" i="5"/>
  <c r="H14" i="5" s="1"/>
  <c r="D14" i="5"/>
  <c r="G14" i="5" s="1"/>
  <c r="E32" i="5"/>
  <c r="H32" i="5" s="1"/>
  <c r="D32" i="5"/>
  <c r="G32" i="5" s="1"/>
  <c r="E10" i="5"/>
  <c r="H10" i="5" s="1"/>
  <c r="D10" i="5"/>
  <c r="G10" i="5" s="1"/>
  <c r="E15" i="5"/>
  <c r="H15" i="5" s="1"/>
  <c r="D15" i="5"/>
  <c r="G15" i="5" s="1"/>
  <c r="E16" i="5"/>
  <c r="H16" i="5" s="1"/>
  <c r="D16" i="5"/>
  <c r="G16" i="5" s="1"/>
  <c r="E22" i="5"/>
  <c r="H22" i="5" s="1"/>
  <c r="D22" i="5"/>
  <c r="G22" i="5" s="1"/>
  <c r="E26" i="5"/>
  <c r="H26" i="5" s="1"/>
  <c r="D26" i="5"/>
  <c r="G26" i="5" s="1"/>
  <c r="D11" i="5"/>
  <c r="G11" i="5" s="1"/>
  <c r="E11" i="5"/>
  <c r="H11" i="5" s="1"/>
  <c r="E24" i="5"/>
  <c r="H24" i="5" s="1"/>
  <c r="D24" i="5"/>
  <c r="G24" i="5" s="1"/>
  <c r="E36" i="5"/>
  <c r="H36" i="5" s="1"/>
  <c r="D36" i="5"/>
  <c r="G36" i="5" s="1"/>
  <c r="E42" i="5"/>
  <c r="H42" i="5" s="1"/>
  <c r="D42" i="5"/>
  <c r="G42" i="5" s="1"/>
  <c r="D31" i="5"/>
  <c r="G31" i="5" s="1"/>
  <c r="E31" i="5"/>
  <c r="H31" i="5" s="1"/>
  <c r="D29" i="5"/>
  <c r="G29" i="5" s="1"/>
  <c r="E29" i="5"/>
  <c r="H29" i="5" s="1"/>
  <c r="D43" i="5"/>
  <c r="G43" i="5" s="1"/>
  <c r="E43" i="5"/>
  <c r="H43" i="5" s="1"/>
  <c r="E35" i="5"/>
  <c r="H35" i="5" s="1"/>
  <c r="D35" i="5"/>
  <c r="G35" i="5" s="1"/>
  <c r="E21" i="5"/>
  <c r="H21" i="5" s="1"/>
  <c r="D21" i="5"/>
  <c r="G21" i="5" s="1"/>
  <c r="D41" i="5"/>
  <c r="G41" i="5" s="1"/>
  <c r="E41" i="5"/>
  <c r="H41" i="5" s="1"/>
  <c r="E27" i="5"/>
  <c r="H27" i="5" s="1"/>
  <c r="D27" i="5"/>
  <c r="G27" i="5" s="1"/>
  <c r="H8" i="5"/>
  <c r="B15" i="7"/>
  <c r="B4" i="9" s="1"/>
  <c r="D13" i="5"/>
  <c r="G13" i="5" s="1"/>
  <c r="E13" i="5"/>
  <c r="H13" i="5" s="1"/>
  <c r="E40" i="5"/>
  <c r="H40" i="5" s="1"/>
  <c r="D40" i="5"/>
  <c r="G40" i="5" s="1"/>
  <c r="D38" i="5"/>
  <c r="G38" i="5" s="1"/>
  <c r="E38" i="5"/>
  <c r="H38" i="5" s="1"/>
  <c r="B14" i="6"/>
  <c r="B5" i="8"/>
  <c r="D45" i="5" l="1"/>
  <c r="B5" i="7" s="1"/>
  <c r="B16" i="7" s="1"/>
  <c r="B5" i="9" s="1"/>
  <c r="G45" i="5"/>
  <c r="G12" i="9"/>
  <c r="G8" i="9"/>
  <c r="D12" i="9"/>
  <c r="D8" i="9"/>
  <c r="C12" i="9"/>
  <c r="C8" i="9"/>
  <c r="F11" i="9"/>
  <c r="E11" i="9"/>
  <c r="F12" i="9"/>
  <c r="F8" i="9"/>
  <c r="E12" i="9"/>
  <c r="E8" i="9"/>
  <c r="G11" i="9"/>
  <c r="D11" i="9"/>
  <c r="C10" i="9"/>
  <c r="C9" i="9"/>
  <c r="C11" i="9"/>
  <c r="G10" i="9"/>
  <c r="E10" i="9"/>
  <c r="D10" i="9"/>
  <c r="F9" i="9"/>
  <c r="F10" i="9"/>
  <c r="G9" i="9"/>
  <c r="E9" i="9"/>
  <c r="D9" i="9"/>
  <c r="H45" i="5"/>
  <c r="E45" i="5"/>
  <c r="B7" i="8"/>
  <c r="B9" i="8" s="1"/>
  <c r="D5" i="8"/>
  <c r="D7" i="8" s="1"/>
  <c r="D9" i="8" s="1"/>
  <c r="C5" i="8"/>
  <c r="C7" i="8" s="1"/>
  <c r="C9" i="8" s="1"/>
  <c r="B6" i="7"/>
  <c r="D10" i="8" l="1"/>
  <c r="D11" i="8"/>
  <c r="D12" i="8" s="1"/>
  <c r="B17" i="7"/>
  <c r="B7" i="7"/>
  <c r="B18" i="7" s="1"/>
  <c r="C10" i="8"/>
  <c r="C11" i="8" s="1"/>
  <c r="C12" i="8" s="1"/>
  <c r="B10" i="8"/>
  <c r="B11" i="8"/>
  <c r="B12" i="8" s="1"/>
  <c r="B13" i="8" s="1"/>
  <c r="B16" i="8" s="1"/>
  <c r="D13" i="8" l="1"/>
  <c r="C13" i="8"/>
  <c r="B8" i="7"/>
  <c r="B9" i="7" l="1"/>
  <c r="B19" i="7"/>
  <c r="B20" i="7" l="1"/>
  <c r="B10" i="7"/>
  <c r="B21" i="7" s="1"/>
</calcChain>
</file>

<file path=xl/sharedStrings.xml><?xml version="1.0" encoding="utf-8"?>
<sst xmlns="http://schemas.openxmlformats.org/spreadsheetml/2006/main" count="1229" uniqueCount="252">
  <si>
    <t>Tutoring Business Financial Model</t>
  </si>
  <si>
    <t>As at:</t>
  </si>
  <si>
    <t>2026-08-20</t>
  </si>
  <si>
    <t>Business wound up:</t>
  </si>
  <si>
    <t>2026-09-18 (end of school term)</t>
  </si>
  <si>
    <t>Student identities:</t>
  </si>
  <si>
    <t>Pseudonymised. Every student appears as "Student NN"; no real name, parent name, email address, or address appears anywhere in this workbook. The mapping from pseudonym to real identity is kept in a file that is not part of this repository.</t>
  </si>
  <si>
    <t>What this model does</t>
  </si>
  <si>
    <t>A driver-based financial model of a private tutoring business, built from actual lesson-schedule and billing data for one school term. It derives revenue, cost-to-serve, capacity utilisation, and a provisioned P&amp;L from that data, then explores scenarios and rate/utilisation sensitivity.</t>
  </si>
  <si>
    <t>Sheet order</t>
  </si>
  <si>
    <t>• Assumptions</t>
  </si>
  <si>
    <t>• Data</t>
  </si>
  <si>
    <t>• Revenue by student</t>
  </si>
  <si>
    <t>• Cost to serve</t>
  </si>
  <si>
    <t>• Capacity</t>
  </si>
  <si>
    <t>• P&amp;L and provisioning</t>
  </si>
  <si>
    <t>• Scenarios</t>
  </si>
  <si>
    <t>• Sensitivity</t>
  </si>
  <si>
    <t>What isn't in this model</t>
  </si>
  <si>
    <t>No suburb or address field exists anywhere in the source data, so travel cost/time is modelled as a flat weekly figure allocated across students by lesson share, not as a per-suburb distance calculation.</t>
  </si>
  <si>
    <t>Assumptions</t>
  </si>
  <si>
    <t>Every input the model uses lives here, in its own labelled cell. Formulas elsewhere reference these cells; nothing downstream hardcodes a number.</t>
  </si>
  <si>
    <t>Label</t>
  </si>
  <si>
    <t>Value</t>
  </si>
  <si>
    <t>Units</t>
  </si>
  <si>
    <t>Source / basis</t>
  </si>
  <si>
    <t>Rates &amp; Lesson Structure</t>
  </si>
  <si>
    <t>Rate per lesson</t>
  </si>
  <si>
    <t>$/lesson</t>
  </si>
  <si>
    <t>From data: flat $40 per 30-minute lesson across all 37 students (Portfolio Lesson Schedule extract, Term 1 2026).</t>
  </si>
  <si>
    <t>Standard lesson duration</t>
  </si>
  <si>
    <t>min</t>
  </si>
  <si>
    <t>Confirmed by business owner, 2026-08-20. Not present in source data.</t>
  </si>
  <si>
    <t>Implied hourly rate</t>
  </si>
  <si>
    <t>$/hr</t>
  </si>
  <si>
    <t>Derived: rate per lesson ÷ (duration ÷ 60).</t>
  </si>
  <si>
    <t>Statutory &amp; Provisioning</t>
  </si>
  <si>
    <t>Superannuation provision rate</t>
  </si>
  <si>
    <t>%</t>
  </si>
  <si>
    <t>Statutory (ATO) rate, FY2025-26.</t>
  </si>
  <si>
    <t>Income tax provisioning rate</t>
  </si>
  <si>
    <t>ESTIMATE for provisioning purposes only. Tutoring is being wound up mid financial year; the real liability depends on total income across the whole year, which isn't modelled here. Not a derived or lodged figure.</t>
  </si>
  <si>
    <t>Working Pattern</t>
  </si>
  <si>
    <t>Terms per year</t>
  </si>
  <si>
    <t>terms</t>
  </si>
  <si>
    <t>Owner estimate.</t>
  </si>
  <si>
    <t>Weeks per term</t>
  </si>
  <si>
    <t>weeks</t>
  </si>
  <si>
    <t>Owner estimate. Matches the 9 weekly blocks in the extracted schedule.</t>
  </si>
  <si>
    <t>Working weeks per year</t>
  </si>
  <si>
    <t>Derived: terms per year × weeks per term.</t>
  </si>
  <si>
    <t>Working days per week</t>
  </si>
  <si>
    <t>days</t>
  </si>
  <si>
    <t>From data: 5 populated weekdays per week in the extract.</t>
  </si>
  <si>
    <t>Max lessons per week (scheduling ceiling)</t>
  </si>
  <si>
    <t>lessons</t>
  </si>
  <si>
    <t>Owner confirmed, 2026-08-20. Equals current scheduled lesson volume. The business is already scheduled at its capacity ceiling; the gap to lessons actually delivered is show-up rate, not spare capacity.</t>
  </si>
  <si>
    <t>Max teachable hours per week</t>
  </si>
  <si>
    <t>hrs</t>
  </si>
  <si>
    <t>Derived: max lessons per week × duration ÷ 60. This is a ceiling on lesson-delivery time; travel time is separate, additive time spent outside it (see Capacity sheet), not subtracted from it.</t>
  </si>
  <si>
    <t>Travel &amp; Vehicle</t>
  </si>
  <si>
    <t>Travel time per day</t>
  </si>
  <si>
    <t>Owner estimate, flat figure. No per-suburb location data exists in the source, so travel can't be modelled by distance.</t>
  </si>
  <si>
    <t>Travel time per week</t>
  </si>
  <si>
    <t>Derived: travel time per day × working days per week.</t>
  </si>
  <si>
    <t>Vehicle insurance</t>
  </si>
  <si>
    <t>$/mo</t>
  </si>
  <si>
    <t>Fuel price</t>
  </si>
  <si>
    <t>$/L</t>
  </si>
  <si>
    <t>Owner estimate ("generally").</t>
  </si>
  <si>
    <t>Fuel tank size</t>
  </si>
  <si>
    <t>L</t>
  </si>
  <si>
    <t>Tank refill frequency</t>
  </si>
  <si>
    <t>Insurance cost per working week</t>
  </si>
  <si>
    <t>$/wk</t>
  </si>
  <si>
    <t>Derived: monthly insurance × 12 ÷ working weeks per year.</t>
  </si>
  <si>
    <t>Fuel cost per week</t>
  </si>
  <si>
    <t>Derived: tank size × fuel price ÷ refill frequency.</t>
  </si>
  <si>
    <t>Vehicle running cost per week</t>
  </si>
  <si>
    <t>Derived: insurance/week + fuel/week. Modelled flat (not $/km) because no distance data exists to drive a per-km figure.</t>
  </si>
  <si>
    <t>Scenario Parameters</t>
  </si>
  <si>
    <t>Scenario switch</t>
  </si>
  <si>
    <t>1/2/3</t>
  </si>
  <si>
    <t>1 = Base (actual), 2 = More students at current rate, 3 = Higher rate, fewer students. Drives the "Selected scenario" callout on the Scenarios sheet.</t>
  </si>
  <si>
    <t>Scenario 2: lesson volume multiplier</t>
  </si>
  <si>
    <t>×</t>
  </si>
  <si>
    <t>Illustrative, adjust as needed. 30% more lesson volume at the current rate.</t>
  </si>
  <si>
    <t>Scenario 3: rate multiplier</t>
  </si>
  <si>
    <t>Illustrative, adjust as needed. A 25% rate rise.</t>
  </si>
  <si>
    <t>Scenario 3: lesson volume multiplier</t>
  </si>
  <si>
    <t>Illustrative, adjust as needed. 15% fewer lessons at the higher rate.</t>
  </si>
  <si>
    <t>Data</t>
  </si>
  <si>
    <t>Anonymised lesson schedule, one row per scheduled lesson slot. Extracted from the Portfolio Lesson Schedule sheet (Term 1 2026, 9 weeks); not hand-edited. Source: scripts/extract.py.</t>
  </si>
  <si>
    <t>Student</t>
  </si>
  <si>
    <t>Lesson Date</t>
  </si>
  <si>
    <t>Attended</t>
  </si>
  <si>
    <t>Duration (min)</t>
  </si>
  <si>
    <t>Rate ($)</t>
  </si>
  <si>
    <t>Student 01</t>
  </si>
  <si>
    <t>2026-02-02</t>
  </si>
  <si>
    <t>Y</t>
  </si>
  <si>
    <t>Student 02</t>
  </si>
  <si>
    <t>Student 03</t>
  </si>
  <si>
    <t>Student 06</t>
  </si>
  <si>
    <t>Student 07</t>
  </si>
  <si>
    <t>Student 08</t>
  </si>
  <si>
    <t>Student 09</t>
  </si>
  <si>
    <t>Student 04</t>
  </si>
  <si>
    <t>2026-02-03</t>
  </si>
  <si>
    <t>Student 05</t>
  </si>
  <si>
    <t>Student 10</t>
  </si>
  <si>
    <t>Student 11</t>
  </si>
  <si>
    <t>Student 12</t>
  </si>
  <si>
    <t>N</t>
  </si>
  <si>
    <t>Student 13</t>
  </si>
  <si>
    <t>Student 14</t>
  </si>
  <si>
    <t>2026-02-04</t>
  </si>
  <si>
    <t>Student 15</t>
  </si>
  <si>
    <t>Student 16</t>
  </si>
  <si>
    <t>Student 17</t>
  </si>
  <si>
    <t>Student 18</t>
  </si>
  <si>
    <t>Student 19</t>
  </si>
  <si>
    <t>Student 20</t>
  </si>
  <si>
    <t>Student 21</t>
  </si>
  <si>
    <t>Student 22</t>
  </si>
  <si>
    <t>2026-02-05</t>
  </si>
  <si>
    <t>Student 23</t>
  </si>
  <si>
    <t>Student 24</t>
  </si>
  <si>
    <t>Student 25</t>
  </si>
  <si>
    <t>Student 26</t>
  </si>
  <si>
    <t>Student 27</t>
  </si>
  <si>
    <t>Student 28</t>
  </si>
  <si>
    <t>Student 29</t>
  </si>
  <si>
    <t>Student 30</t>
  </si>
  <si>
    <t>2026-02-06</t>
  </si>
  <si>
    <t>Student 31</t>
  </si>
  <si>
    <t>Student 32</t>
  </si>
  <si>
    <t>Student 33</t>
  </si>
  <si>
    <t>Student 34</t>
  </si>
  <si>
    <t>Student 35</t>
  </si>
  <si>
    <t>Student 36</t>
  </si>
  <si>
    <t>Student 37</t>
  </si>
  <si>
    <t>2026-02-09</t>
  </si>
  <si>
    <t>2026-02-10</t>
  </si>
  <si>
    <t>2026-02-11</t>
  </si>
  <si>
    <t>2026-02-12</t>
  </si>
  <si>
    <t>2026-02-13</t>
  </si>
  <si>
    <t>2026-02-16</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</si>
  <si>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</si>
  <si>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</si>
  <si>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</si>
  <si>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</si>
  <si>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</si>
  <si>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</si>
  <si>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</si>
  <si>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</si>
  <si>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</si>
  <si>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</si>
  <si>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</si>
  <si>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</si>
  <si>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</si>
  <si>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</si>
  <si>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</si>
  <si>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</si>
  <si>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</si>
  <si>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</si>
  <si>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</si>
  <si>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</si>
  <si>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</si>
  <si>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</si>
  <si>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</si>
  <si>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</si>
  <si>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</si>
  <si>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</si>
  <si>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</si>
  <si>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</si>
  <si>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</si>
  <si>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</si>
  <si>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</si>
  <si>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</si>
  <si>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</si>
  <si>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2026-04-03</t>
  </si>
  <si>
    <t>Revenue by student</t>
  </si>
  <si>
    <t>Lessons scheduled</t>
  </si>
  <si>
    <t>Lessons delivered</t>
  </si>
  <si>
    <t>Hours delivered</t>
  </si>
  <si>
    <t>Gross revenue ($)</t>
  </si>
  <si>
    <t>Effective hourly rate ($/hr)</t>
  </si>
  <si>
    <t>TOTAL</t>
  </si>
  <si>
    <t>Cost to serve</t>
  </si>
  <si>
    <t>Period covered: 2026-02-02 to 2026-04-03 (9 weeks, one term). No suburb/location field exists anywhere in the source data, so travel cost and time are modelled as a flat weekly total (Assumptions sheet) allocated across students by their share of lessons delivered, not by per-suburb distance.</t>
  </si>
  <si>
    <t>Total vehicle running cost (period)</t>
  </si>
  <si>
    <t>Total travel time (period, hours)</t>
  </si>
  <si>
    <t>Share of lessons delivered</t>
  </si>
  <si>
    <t>Allocated travel cost ($)</t>
  </si>
  <si>
    <t>Allocated travel time (hrs)</t>
  </si>
  <si>
    <t>Contribution ($)</t>
  </si>
  <si>
    <t>Committed hours</t>
  </si>
  <si>
    <t>Capacity</t>
  </si>
  <si>
    <t>Max lessons/week is a hard ceiling on lesson-delivery time only. Travel time is separate, additive time spent outside it (owner already teaches at the scheduling ceiling), so it is not subtracted here. See Cost to serve for how travel time is treated as unpaid capacity consumed per student.</t>
  </si>
  <si>
    <t>Travel time per week (hrs, additive)</t>
  </si>
  <si>
    <t>Not subtracted from teaching ceiling. See note above.</t>
  </si>
  <si>
    <t>Total weekly time commitment at full capacity</t>
  </si>
  <si>
    <t>Teaching ceiling + travel time: the real total workload if fully booked.</t>
  </si>
  <si>
    <t>Actual hours delivered/week (avg)</t>
  </si>
  <si>
    <t>Averaged over the 9-week extract.</t>
  </si>
  <si>
    <t>Actual lessons delivered/week (avg)</t>
  </si>
  <si>
    <t>Utilisation (actual hrs ÷ max teachable hrs)</t>
  </si>
  <si>
    <t>How close to the scheduling ceiling the business ran.</t>
  </si>
  <si>
    <t>Scheduled lessons/week (avg)</t>
  </si>
  <si>
    <t>Already equal to the max. See note below.</t>
  </si>
  <si>
    <t>Show-up rate (delivered ÷ scheduled)</t>
  </si>
  <si>
    <t>Scheduled already sits at the max lessons/week ceiling, so this equals utilisation above: the constraint here is no-shows/cancellations, not unfilled slots.</t>
  </si>
  <si>
    <t>Ceiling annual revenue (if every slot delivered)</t>
  </si>
  <si>
    <t>Max teachable hrs × working weeks/yr × hourly rate.</t>
  </si>
  <si>
    <t>Actual annualised revenue pace</t>
  </si>
  <si>
    <t>Extrapolated run-rate, NOT an actual full-year figure; the business wound up ~18 Sept 2026.</t>
  </si>
  <si>
    <t>P&amp;L and provisioning</t>
  </si>
  <si>
    <t>Period actuals (9 weeks, from the extract)</t>
  </si>
  <si>
    <t>Gross revenue</t>
  </si>
  <si>
    <t>Less: allocated travel cost</t>
  </si>
  <si>
    <t>Net operating income</t>
  </si>
  <si>
    <t>Super provision</t>
  </si>
  <si>
    <t>Taxable income after super</t>
  </si>
  <si>
    <t>Tax provision</t>
  </si>
  <si>
    <t>ESTIMATE only. See Assumptions sheet note.</t>
  </si>
  <si>
    <t>Net income (period)</t>
  </si>
  <si>
    <t>Annualised run-rate (extrapolated, NOT an actual full-year figure; the business wound up ~18 Sept 2026)</t>
  </si>
  <si>
    <t>Annualisation factor (working weeks/yr ÷ weeks/term)</t>
  </si>
  <si>
    <t>Net income (annualised)</t>
  </si>
  <si>
    <t>Scenarios</t>
  </si>
  <si>
    <t>All three columns are live formulas driven by the multipliers on the Assumptions sheet, not separate copied models. Vehicle/travel cost is held constant across scenarios: there's no distance-based driver in the data to scale it with lesson volume.</t>
  </si>
  <si>
    <t>1. Base (actual)</t>
  </si>
  <si>
    <t>2. More students, current rate</t>
  </si>
  <si>
    <t>3. Higher rate, fewer students</t>
  </si>
  <si>
    <t>Lessons/week (avg)</t>
  </si>
  <si>
    <t>Rate per lesson ($)</t>
  </si>
  <si>
    <t>Annualised revenue ($)</t>
  </si>
  <si>
    <t>Annualised vehicle/travel cost ($)</t>
  </si>
  <si>
    <t>Net operating income ($)</t>
  </si>
  <si>
    <t>Super provision ($)</t>
  </si>
  <si>
    <t>Taxable income after super ($)</t>
  </si>
  <si>
    <t>Tax provision ($)</t>
  </si>
  <si>
    <t>Net income (annualised, $)</t>
  </si>
  <si>
    <t>Selected scenario (Assumptions!scenario_switch)</t>
  </si>
  <si>
    <t>Selected scenario net income ($)</t>
  </si>
  <si>
    <t>Sensitivity: net income by rate × utilisation</t>
  </si>
  <si>
    <t>Explicit formula grid (not a native Excel Data Table). Each cell = (annualised base revenue × row volume multiplier × column rate multiplier − annualised vehicle/travel cost) × (1 − super rate) × (1 − tax rate). Cost is held flat, same simplification as Scenarios.</t>
  </si>
  <si>
    <t>Base annualised revenue ($)</t>
  </si>
  <si>
    <t>Base annualised vehicle/travel cost ($)</t>
  </si>
  <si>
    <t>Volume ↓  /  Rate →</t>
  </si>
  <si>
    <t>Lesson volume
multiplier (row)
Rate multiplier
(column)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</si>
</sst>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
    <numFmt numFmtId="167" formatCode="\$#,##0.00;\(\$#,##0.00\)"/>
    <numFmt numFmtId="168" formatCode="yyyy\-mm\-dd"/>
  </numFmts>
  <fonts count="7" x14ac:knownFonts="1">
    <font>
      <sz val="11"/>
      <color theme="1"/>
      <name val="Calibri"/>
      <family val="2"/>
      <scheme val="minor"/>
    </font>
    <font>
      <b/>
      <sz val="14"/>
      <name val="Calibri"/>
    </font>
    <font>
      <b/>
      <sz val="11"/>
      <color rgb="FF000000"/>
      <name val="Calibri"/>
    </font>
    <font>
      <i/>
      <sz val="11"/>
      <color rgb="FF000000"/>
      <name val="Calibri"/>
    </font>
    <font>
      <b/>
      <sz val="11"/>
      <name val="Calibri"/>
    </font>
    <font>
      <b/>
      <sz val="11"/>
      <color rgb="FFFFFFFF"/>
      <name val="Calibri"/>
    </font>
    <font>
      <sz val="11"/>
      <color rgb="FF000000"/>
      <name val="Calibri"/>
    </font>
  </fonts>
  <fills count="3">
    <fill>
      <patternFill patternType="none"/>
    </fill>
    <fill>
      <patternFill patternType="gray125"/>
    </fill>
    <fill>
      <patternFill patternType="solid">
        <fgColor rgb="FF1F4E78"/>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1" fillId="0" borderId="0" xfId="0" applyFont="1"/>
    <xf numFmtId="0" fontId="0" fillId="0" borderId="0" xfId="0" applyAlignment="1">
      <alignment vertical="top" wrapText="1"/>
    </xf>
    <xf numFmtId="0" fontId="2" fillId="0" borderId="0" xfId="0" applyFont="1"/>
    <xf numFmtId="0" fontId="3" fillId="0" borderId="0" xfId="0" applyFont="1" applyAlignment="1">
      <alignment vertical="top" wrapText="1"/>
    </xf>
    <xf numFmtId="0" fontId="5" fillId="2" borderId="1" xfId="0" applyFont="1" applyFill="1" applyBorder="1" applyAlignment="1">
      <alignment horizontal="center" vertical="center" wrapText="1"/>
    </xf>
    <xf numFmtId="0" fontId="0" fillId="0" borderId="1" xfId="0" applyBorder="1"/>
    <xf numFmtId="164" fontId="6" fillId="0" borderId="1" xfId="0" applyNumberFormat="1" applyFont="1" applyBorder="1"/>
    <xf numFmtId="0" fontId="3" fillId="0" borderId="1" xfId="0" applyFont="1" applyBorder="1"/>
    <xf numFmtId="0" fontId="3" fillId="0" borderId="1" xfId="0" applyFont="1" applyBorder="1" applyAlignment="1">
      <alignment vertical="top" wrapText="1"/>
    </xf>
    <xf numFmtId="1" fontId="6" fillId="0" borderId="1" xfId="0" applyNumberFormat="1" applyFont="1" applyBorder="1"/>
    <xf numFmtId="165" fontId="6" fillId="0" borderId="1" xfId="0" applyNumberFormat="1" applyFont="1" applyBorder="1"/>
    <xf numFmtId="166" fontId="6" fillId="0" borderId="1" xfId="0" applyNumberFormat="1" applyFont="1" applyBorder="1"/>
    <xf numFmtId="167" fontId="6" fillId="0" borderId="1" xfId="0" applyNumberFormat="1" applyFont="1" applyBorder="1"/>
    <xf numFmtId="2" fontId="6" fillId="0" borderId="1" xfId="0" applyNumberFormat="1" applyFont="1" applyBorder="1"/>
    <xf numFmtId="0" fontId="6" fillId="0" borderId="0" xfId="0" applyFont="1"/>
    <xf numFmtId="168" fontId="6" fillId="0" borderId="0" xfId="0" applyNumberFormat="1" applyFont="1"/>
    <xf numFmtId="0" fontId="6" fillId="0" borderId="0" xfId="0" applyFont="1" applyAlignment="1">
      <alignment horizontal="center"/>
    </xf>
    <xf numFmtId="1" fontId="6" fillId="0" borderId="0" xfId="0" applyNumberFormat="1" applyFont="1"/>
    <xf numFmtId="164" fontId="6" fillId="0" borderId="0" xfId="0" applyNumberFormat="1" applyFont="1"/>
    <xf numFmtId="0" fontId="6" fillId="0" borderId="1" xfId="0" applyFont="1" applyBorder="1"/>
    <xf numFmtId="0" fontId="4" fillId="0" borderId="1" xfId="0" applyFont="1" applyBorder="1"/>
    <xf numFmtId="1" fontId="4" fillId="0" borderId="1" xfId="0" applyNumberFormat="1" applyFont="1" applyBorder="1"/>
    <xf numFmtId="2" fontId="4" fillId="0" borderId="1" xfId="0" applyNumberFormat="1" applyFont="1" applyBorder="1"/>
    <xf numFmtId="164" fontId="4" fillId="0" borderId="1" xfId="0" applyNumberFormat="1" applyFont="1" applyBorder="1"/>
    <xf numFmtId="0" fontId="4" fillId="0" borderId="1" xfId="0" applyFont="1" applyBorder="1" applyAlignment="1">
      <alignment vertical="top" wrapText="1"/>
    </xf>
    <xf numFmtId="0" fontId="0" fillId="0" borderId="1" xfId="0" applyBorder="1" applyAlignment="1">
      <alignment vertical="top" wrapText="1"/>
    </xf>
    <xf numFmtId="0" fontId="4" fillId="0" borderId="0" xfId="0" applyFont="1"/>
    <xf numFmtId="165" fontId="2" fillId="0" borderId="1" xfId="0" applyNumberFormat="1" applyFont="1" applyBorder="1" applyAlignment="1">
      <alignment horizontal="center"/>
    </xf>
    <xf numFmtId="165" fontId="2" fillId="0" borderId="1" xfId="0" applyNumberFormat="1" applyFont="1" applyBorder="1"/>
    <xf numFmtId="0" fontId="0" fillId="0" borderId="0" xfId="0" applyAlignment="1">
      <alignment vertical="top" wrapText="1"/>
    </xf>
    <xf numFmtId="0" fontId="0" fillId="0" borderId="0" xfId="0"/>
    <xf numFmtId="0" fontId="2" fillId="0" borderId="0" xfId="0" applyFont="1"/>
    <xf numFmtId="0" fontId="3" fillId="0" borderId="0" xfId="0" applyFont="1" applyAlignment="1">
      <alignment vertical="top" wrapText="1"/>
    </xf>
    <xf numFmtId="0" fontId="1" fillId="0" borderId="0" xfId="0" applyFont="1"/>
    <xf numFmtId="0" fontId="5" fillId="2" borderId="1" xfId="0" applyFont="1" applyFill="1" applyBorder="1" applyAlignment="1">
      <alignment horizontal="center" vertical="center" wrapText="1"/>
    </xf>
    <xf numFmtId="0" fontId="0" fillId="0" borderId="2" xfId="0" applyBorder="1"/>
    <xf numFmtId="0" fontId="0" fillId="0" borderId="3" xfId="0" applyBorder="1"/>
    <xf numFmtId="0" fontId="3"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showGridLines="0" tabSelected="1" workbookViewId="0"/>
  </sheetViews>
  <sheetFormatPr defaultRowHeight="14.4" x14ac:dyDescent="0.3"/>
  <cols>
    <col min="1" max="1" width="34" customWidth="1"/>
    <col min="2" max="2" width="90" customWidth="1"/>
  </cols>
  <sheetData>
    <row r="1" spans="1:2" ht="18" x14ac:dyDescent="0.35">
      <c r="A1" s="1" t="s">
        <v>0</v>
      </c>
    </row>
    <row r="3" spans="1:2" x14ac:dyDescent="0.3">
      <c r="A3" t="s">
        <v>1</v>
      </c>
      <c r="B3" t="s">
        <v>2</v>
      </c>
    </row>
    <row r="4" spans="1:2" x14ac:dyDescent="0.3">
      <c r="A4" t="s">
        <v>3</v>
      </c>
      <c r="B4" t="s">
        <v>4</v>
      </c>
    </row>
    <row r="5" spans="1:2" ht="43.2" x14ac:dyDescent="0.3">
      <c r="A5" t="s">
        <v>5</v>
      </c>
      <c r="B5" s="2" t="s">
        <v>6</v>
      </c>
    </row>
    <row r="7" spans="1:2" x14ac:dyDescent="0.3">
      <c r="A7" s="3" t="s">
        <v>7</v>
      </c>
    </row>
    <row r="8" spans="1:2" ht="45" customHeight="1" x14ac:dyDescent="0.3">
      <c r="A8" s="30" t="s">
        <v>8</v>
      </c>
      <c r="B8" s="31"/>
    </row>
    <row r="10" spans="1:2" x14ac:dyDescent="0.3">
      <c r="A10" s="3" t="s">
        <v>9</v>
      </c>
    </row>
    <row r="11" spans="1:2" x14ac:dyDescent="0.3">
      <c r="A11" t="s">
        <v>10</v>
      </c>
    </row>
    <row r="12" spans="1:2" x14ac:dyDescent="0.3">
      <c r="A12" t="s">
        <v>11</v>
      </c>
    </row>
    <row r="13" spans="1:2" x14ac:dyDescent="0.3">
      <c r="A13" t="s">
        <v>12</v>
      </c>
    </row>
    <row r="14" spans="1:2" x14ac:dyDescent="0.3">
      <c r="A14" t="s">
        <v>13</v>
      </c>
    </row>
    <row r="15" spans="1:2" x14ac:dyDescent="0.3">
      <c r="A15" t="s">
        <v>14</v>
      </c>
    </row>
    <row r="16" spans="1:2" x14ac:dyDescent="0.3">
      <c r="A16" t="s">
        <v>15</v>
      </c>
    </row>
    <row r="17" spans="1:2" x14ac:dyDescent="0.3">
      <c r="A17" t="s">
        <v>16</v>
      </c>
    </row>
    <row r="18" spans="1:2" x14ac:dyDescent="0.3">
      <c r="A18" t="s">
        <v>17</v>
      </c>
    </row>
    <row r="20" spans="1:2" x14ac:dyDescent="0.3">
      <c r="A20" s="3" t="s">
        <v>18</v>
      </c>
    </row>
    <row r="21" spans="1:2" ht="60" customHeight="1" x14ac:dyDescent="0.3">
      <c r="A21" s="30" t="s">
        <v>19</v>
      </c>
      <c r="B21" s="31"/>
    </row>
  </sheetData>
  <mergeCells count="2">
    <mergeCell ref="A8:B8"/>
    <mergeCell ref="A21:B2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showGridLines="0" workbookViewId="0">
      <pane ySplit="4" topLeftCell="A5" activePane="bottomLeft" state="frozen"/>
      <selection pane="bottomLeft"/>
    </sheetView>
  </sheetViews>
  <sheetFormatPr defaultRowHeight="14.4" x14ac:dyDescent="0.3"/>
  <cols>
    <col min="1" max="1" width="40" customWidth="1"/>
    <col min="2" max="2" width="14" customWidth="1"/>
    <col min="3" max="3" width="10" customWidth="1"/>
    <col min="4" max="4" width="62" customWidth="1"/>
  </cols>
  <sheetData>
    <row r="1" spans="1:4" ht="18" x14ac:dyDescent="0.35">
      <c r="A1" s="1" t="s">
        <v>20</v>
      </c>
    </row>
    <row r="2" spans="1:4" ht="57.6" x14ac:dyDescent="0.3">
      <c r="A2" s="4" t="s">
        <v>21</v>
      </c>
    </row>
    <row r="4" spans="1:4" x14ac:dyDescent="0.3">
      <c r="A4" s="5" t="s">
        <v>22</v>
      </c>
      <c r="B4" s="5" t="s">
        <v>23</v>
      </c>
      <c r="C4" s="5" t="s">
        <v>24</v>
      </c>
      <c r="D4" s="5" t="s">
        <v>25</v>
      </c>
    </row>
    <row r="6" spans="1:4" x14ac:dyDescent="0.3">
      <c r="A6" s="32" t="s">
        <v>26</v>
      </c>
      <c r="B6" s="31"/>
      <c r="C6" s="31"/>
      <c r="D6" s="31"/>
    </row>
    <row r="7" spans="1:4" ht="28.8" x14ac:dyDescent="0.3">
      <c r="A7" s="6" t="s">
        <v>27</v>
      </c>
      <c r="B7" s="7">
        <v>40</v>
      </c>
      <c r="C7" s="8" t="s">
        <v>28</v>
      </c>
      <c r="D7" s="9" t="s">
        <v>29</v>
      </c>
    </row>
    <row r="8" spans="1:4" x14ac:dyDescent="0.3">
      <c r="A8" s="6" t="s">
        <v>30</v>
      </c>
      <c r="B8" s="10">
        <v>30</v>
      </c>
      <c r="C8" s="8" t="s">
        <v>31</v>
      </c>
      <c r="D8" s="9" t="s">
        <v>32</v>
      </c>
    </row>
    <row r="9" spans="1:4" x14ac:dyDescent="0.3">
      <c r="A9" s="6" t="s">
        <v>33</v>
      </c>
      <c r="B9" s="7">
        <f>$B$7/($B$8/60)</f>
        <v>80</v>
      </c>
      <c r="C9" s="8" t="s">
        <v>34</v>
      </c>
      <c r="D9" s="9" t="s">
        <v>35</v>
      </c>
    </row>
    <row r="11" spans="1:4" x14ac:dyDescent="0.3">
      <c r="A11" s="32" t="s">
        <v>36</v>
      </c>
      <c r="B11" s="31"/>
      <c r="C11" s="31"/>
      <c r="D11" s="31"/>
    </row>
    <row r="12" spans="1:4" x14ac:dyDescent="0.3">
      <c r="A12" s="6" t="s">
        <v>37</v>
      </c>
      <c r="B12" s="11">
        <v>0.125</v>
      </c>
      <c r="C12" s="8" t="s">
        <v>38</v>
      </c>
      <c r="D12" s="9" t="s">
        <v>39</v>
      </c>
    </row>
    <row r="13" spans="1:4" ht="43.2" x14ac:dyDescent="0.3">
      <c r="A13" s="6" t="s">
        <v>40</v>
      </c>
      <c r="B13" s="11">
        <v>0.2</v>
      </c>
      <c r="C13" s="8" t="s">
        <v>38</v>
      </c>
      <c r="D13" s="9" t="s">
        <v>41</v>
      </c>
    </row>
    <row r="15" spans="1:4" x14ac:dyDescent="0.3">
      <c r="A15" s="32" t="s">
        <v>42</v>
      </c>
      <c r="B15" s="31"/>
      <c r="C15" s="31"/>
      <c r="D15" s="31"/>
    </row>
    <row r="16" spans="1:4" x14ac:dyDescent="0.3">
      <c r="A16" s="6" t="s">
        <v>43</v>
      </c>
      <c r="B16" s="10">
        <v>4</v>
      </c>
      <c r="C16" s="8" t="s">
        <v>44</v>
      </c>
      <c r="D16" s="9" t="s">
        <v>45</v>
      </c>
    </row>
    <row r="17" spans="1:4" x14ac:dyDescent="0.3">
      <c r="A17" s="6" t="s">
        <v>46</v>
      </c>
      <c r="B17" s="10">
        <v>9</v>
      </c>
      <c r="C17" s="8" t="s">
        <v>47</v>
      </c>
      <c r="D17" s="9" t="s">
        <v>48</v>
      </c>
    </row>
    <row r="18" spans="1:4" x14ac:dyDescent="0.3">
      <c r="A18" s="6" t="s">
        <v>49</v>
      </c>
      <c r="B18" s="10">
        <f>$B$16*$B$17</f>
        <v>36</v>
      </c>
      <c r="C18" s="8" t="s">
        <v>47</v>
      </c>
      <c r="D18" s="9" t="s">
        <v>50</v>
      </c>
    </row>
    <row r="19" spans="1:4" x14ac:dyDescent="0.3">
      <c r="A19" s="6" t="s">
        <v>51</v>
      </c>
      <c r="B19" s="10">
        <v>5</v>
      </c>
      <c r="C19" s="8" t="s">
        <v>52</v>
      </c>
      <c r="D19" s="9" t="s">
        <v>53</v>
      </c>
    </row>
    <row r="20" spans="1:4" ht="43.2" x14ac:dyDescent="0.3">
      <c r="A20" s="6" t="s">
        <v>54</v>
      </c>
      <c r="B20" s="10">
        <v>37</v>
      </c>
      <c r="C20" s="8" t="s">
        <v>55</v>
      </c>
      <c r="D20" s="9" t="s">
        <v>56</v>
      </c>
    </row>
    <row r="21" spans="1:4" ht="43.2" x14ac:dyDescent="0.3">
      <c r="A21" s="6" t="s">
        <v>57</v>
      </c>
      <c r="B21" s="12">
        <f>$B$20*$B$8/60</f>
        <v>18.5</v>
      </c>
      <c r="C21" s="8" t="s">
        <v>58</v>
      </c>
      <c r="D21" s="9" t="s">
        <v>59</v>
      </c>
    </row>
    <row r="23" spans="1:4" x14ac:dyDescent="0.3">
      <c r="A23" s="32" t="s">
        <v>60</v>
      </c>
      <c r="B23" s="31"/>
      <c r="C23" s="31"/>
      <c r="D23" s="31"/>
    </row>
    <row r="24" spans="1:4" ht="28.8" x14ac:dyDescent="0.3">
      <c r="A24" s="6" t="s">
        <v>61</v>
      </c>
      <c r="B24" s="12">
        <v>1.5</v>
      </c>
      <c r="C24" s="8" t="s">
        <v>58</v>
      </c>
      <c r="D24" s="9" t="s">
        <v>62</v>
      </c>
    </row>
    <row r="25" spans="1:4" x14ac:dyDescent="0.3">
      <c r="A25" s="6" t="s">
        <v>63</v>
      </c>
      <c r="B25" s="12">
        <f>$B$24*$B$19</f>
        <v>7.5</v>
      </c>
      <c r="C25" s="8" t="s">
        <v>58</v>
      </c>
      <c r="D25" s="9" t="s">
        <v>64</v>
      </c>
    </row>
    <row r="26" spans="1:4" x14ac:dyDescent="0.3">
      <c r="A26" s="6" t="s">
        <v>65</v>
      </c>
      <c r="B26" s="7">
        <v>150</v>
      </c>
      <c r="C26" s="8" t="s">
        <v>66</v>
      </c>
      <c r="D26" s="9" t="s">
        <v>45</v>
      </c>
    </row>
    <row r="27" spans="1:4" x14ac:dyDescent="0.3">
      <c r="A27" s="6" t="s">
        <v>67</v>
      </c>
      <c r="B27" s="13">
        <v>1.8</v>
      </c>
      <c r="C27" s="8" t="s">
        <v>68</v>
      </c>
      <c r="D27" s="9" t="s">
        <v>69</v>
      </c>
    </row>
    <row r="28" spans="1:4" x14ac:dyDescent="0.3">
      <c r="A28" s="6" t="s">
        <v>70</v>
      </c>
      <c r="B28" s="12">
        <v>40</v>
      </c>
      <c r="C28" s="8" t="s">
        <v>71</v>
      </c>
      <c r="D28" s="9" t="s">
        <v>45</v>
      </c>
    </row>
    <row r="29" spans="1:4" x14ac:dyDescent="0.3">
      <c r="A29" s="6" t="s">
        <v>72</v>
      </c>
      <c r="B29" s="12">
        <v>1.5</v>
      </c>
      <c r="C29" s="8" t="s">
        <v>47</v>
      </c>
      <c r="D29" s="9" t="s">
        <v>45</v>
      </c>
    </row>
    <row r="30" spans="1:4" x14ac:dyDescent="0.3">
      <c r="A30" s="6" t="s">
        <v>73</v>
      </c>
      <c r="B30" s="7">
        <f>$B$26*12/$B$18</f>
        <v>50</v>
      </c>
      <c r="C30" s="8" t="s">
        <v>74</v>
      </c>
      <c r="D30" s="9" t="s">
        <v>75</v>
      </c>
    </row>
    <row r="31" spans="1:4" x14ac:dyDescent="0.3">
      <c r="A31" s="6" t="s">
        <v>76</v>
      </c>
      <c r="B31" s="7">
        <f>$B$28*$B$27/$B$29</f>
        <v>48</v>
      </c>
      <c r="C31" s="8" t="s">
        <v>74</v>
      </c>
      <c r="D31" s="9" t="s">
        <v>77</v>
      </c>
    </row>
    <row r="32" spans="1:4" ht="28.8" x14ac:dyDescent="0.3">
      <c r="A32" s="6" t="s">
        <v>78</v>
      </c>
      <c r="B32" s="7">
        <f>$B$30+$B$31</f>
        <v>98</v>
      </c>
      <c r="C32" s="8" t="s">
        <v>74</v>
      </c>
      <c r="D32" s="9" t="s">
        <v>79</v>
      </c>
    </row>
    <row r="34" spans="1:4" x14ac:dyDescent="0.3">
      <c r="A34" s="32" t="s">
        <v>80</v>
      </c>
      <c r="B34" s="31"/>
      <c r="C34" s="31"/>
      <c r="D34" s="31"/>
    </row>
    <row r="35" spans="1:4" ht="28.8" x14ac:dyDescent="0.3">
      <c r="A35" s="6" t="s">
        <v>81</v>
      </c>
      <c r="B35" s="10">
        <v>1</v>
      </c>
      <c r="C35" s="8" t="s">
        <v>82</v>
      </c>
      <c r="D35" s="9" t="s">
        <v>83</v>
      </c>
    </row>
    <row r="36" spans="1:4" ht="28.8" x14ac:dyDescent="0.3">
      <c r="A36" s="6" t="s">
        <v>84</v>
      </c>
      <c r="B36" s="14">
        <v>1.3</v>
      </c>
      <c r="C36" s="8" t="s">
        <v>85</v>
      </c>
      <c r="D36" s="9" t="s">
        <v>86</v>
      </c>
    </row>
    <row r="37" spans="1:4" x14ac:dyDescent="0.3">
      <c r="A37" s="6" t="s">
        <v>87</v>
      </c>
      <c r="B37" s="14">
        <v>1.25</v>
      </c>
      <c r="C37" s="8" t="s">
        <v>85</v>
      </c>
      <c r="D37" s="9" t="s">
        <v>88</v>
      </c>
    </row>
    <row r="38" spans="1:4" x14ac:dyDescent="0.3">
      <c r="A38" s="6" t="s">
        <v>89</v>
      </c>
      <c r="B38" s="14">
        <v>0.85</v>
      </c>
      <c r="C38" s="8" t="s">
        <v>85</v>
      </c>
      <c r="D38" s="9" t="s">
        <v>90</v>
      </c>
    </row>
  </sheetData>
  <mergeCells count="5">
    <mergeCell ref="A23:D23"/>
    <mergeCell ref="A6:D6"/>
    <mergeCell ref="A34:D34"/>
    <mergeCell ref="A15:D15"/>
    <mergeCell ref="A11:D1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37"/>
  <sheetViews>
    <sheetView showGridLines="0" workbookViewId="0">
      <pane ySplit="4" topLeftCell="A5" activePane="bottomLeft" state="frozen"/>
      <selection pane="bottomLeft"/>
    </sheetView>
  </sheetViews>
  <sheetFormatPr defaultRowHeight="14.4" x14ac:dyDescent="0.3"/>
  <cols>
    <col min="1" max="2" width="14" customWidth="1"/>
    <col min="3" max="3" width="12" customWidth="1"/>
    <col min="4" max="4" width="16" customWidth="1"/>
    <col min="5" max="5" width="12" customWidth="1"/>
  </cols>
  <sheetData>
    <row r="1" spans="1:5" ht="18" x14ac:dyDescent="0.35">
      <c r="A1" s="34" t="s">
        <v>91</v>
      </c>
      <c r="B1" s="31"/>
      <c r="C1" s="31"/>
      <c r="D1" s="31"/>
      <c r="E1" s="31"/>
    </row>
    <row r="2" spans="1:5" x14ac:dyDescent="0.3">
      <c r="A2" s="33" t="s">
        <v>92</v>
      </c>
      <c r="B2" s="31"/>
      <c r="C2" s="31"/>
      <c r="D2" s="31"/>
      <c r="E2" s="31"/>
    </row>
    <row r="4" spans="1:5" x14ac:dyDescent="0.3">
      <c r="A4" s="5" t="s">
        <v>93</v>
      </c>
      <c r="B4" s="5" t="s">
        <v>94</v>
      </c>
      <c r="C4" s="5" t="s">
        <v>95</v>
      </c>
      <c r="D4" s="5" t="s">
        <v>96</v>
      </c>
      <c r="E4" s="5" t="s">
        <v>97</v>
      </c>
    </row>
    <row r="5" spans="1:5" x14ac:dyDescent="0.3">
      <c r="A5" s="15" t="s">
        <v>98</v>
      </c>
      <c r="B5" s="16" t="s">
        <v>99</v>
      </c>
      <c r="C5" s="17" t="s">
        <v>100</v>
      </c>
      <c r="D5" s="18">
        <v>30</v>
      </c>
      <c r="E5" s="19">
        <v>40</v>
      </c>
    </row>
    <row r="6" spans="1:5" x14ac:dyDescent="0.3">
      <c r="A6" s="15" t="s">
        <v>101</v>
      </c>
      <c r="B6" s="16" t="s">
        <v>99</v>
      </c>
      <c r="C6" s="17" t="s">
        <v>100</v>
      </c>
      <c r="D6" s="18">
        <v>30</v>
      </c>
      <c r="E6" s="19">
        <v>40</v>
      </c>
    </row>
    <row r="7" spans="1:5" x14ac:dyDescent="0.3">
      <c r="A7" s="15" t="s">
        <v>102</v>
      </c>
      <c r="B7" s="16" t="s">
        <v>99</v>
      </c>
      <c r="C7" s="17" t="s">
        <v>100</v>
      </c>
      <c r="D7" s="18">
        <v>30</v>
      </c>
      <c r="E7" s="19">
        <v>40</v>
      </c>
    </row>
    <row r="8" spans="1:5" x14ac:dyDescent="0.3">
      <c r="A8" s="15" t="s">
        <v>103</v>
      </c>
      <c r="B8" s="16" t="s">
        <v>99</v>
      </c>
      <c r="C8" s="17" t="s">
        <v>100</v>
      </c>
      <c r="D8" s="18">
        <v>30</v>
      </c>
      <c r="E8" s="19">
        <v>40</v>
      </c>
    </row>
    <row r="9" spans="1:5" x14ac:dyDescent="0.3">
      <c r="A9" s="15" t="s">
        <v>104</v>
      </c>
      <c r="B9" s="16" t="s">
        <v>99</v>
      </c>
      <c r="C9" s="17" t="s">
        <v>100</v>
      </c>
      <c r="D9" s="18">
        <v>30</v>
      </c>
      <c r="E9" s="19">
        <v>40</v>
      </c>
    </row>
    <row r="10" spans="1:5" x14ac:dyDescent="0.3">
      <c r="A10" s="15" t="s">
        <v>105</v>
      </c>
      <c r="B10" s="16" t="s">
        <v>99</v>
      </c>
      <c r="C10" s="17" t="s">
        <v>100</v>
      </c>
      <c r="D10" s="18">
        <v>30</v>
      </c>
      <c r="E10" s="19">
        <v>40</v>
      </c>
    </row>
    <row r="11" spans="1:5" x14ac:dyDescent="0.3">
      <c r="A11" s="15" t="s">
        <v>106</v>
      </c>
      <c r="B11" s="16" t="s">
        <v>99</v>
      </c>
      <c r="C11" s="17" t="s">
        <v>100</v>
      </c>
      <c r="D11" s="18">
        <v>30</v>
      </c>
      <c r="E11" s="19">
        <v>40</v>
      </c>
    </row>
    <row r="12" spans="1:5" x14ac:dyDescent="0.3">
      <c r="A12" s="15" t="s">
        <v>107</v>
      </c>
      <c r="B12" s="16" t="s">
        <v>108</v>
      </c>
      <c r="C12" s="17" t="s">
        <v>100</v>
      </c>
      <c r="D12" s="18">
        <v>30</v>
      </c>
      <c r="E12" s="19">
        <v>40</v>
      </c>
    </row>
    <row r="13" spans="1:5" x14ac:dyDescent="0.3">
      <c r="A13" s="15" t="s">
        <v>109</v>
      </c>
      <c r="B13" s="16" t="s">
        <v>108</v>
      </c>
      <c r="C13" s="17" t="s">
        <v>100</v>
      </c>
      <c r="D13" s="18">
        <v>30</v>
      </c>
      <c r="E13" s="19">
        <v>40</v>
      </c>
    </row>
    <row r="14" spans="1:5" x14ac:dyDescent="0.3">
      <c r="A14" s="15" t="s">
        <v>110</v>
      </c>
      <c r="B14" s="16" t="s">
        <v>108</v>
      </c>
      <c r="C14" s="17" t="s">
        <v>100</v>
      </c>
      <c r="D14" s="18">
        <v>30</v>
      </c>
      <c r="E14" s="19">
        <v>40</v>
      </c>
    </row>
    <row r="15" spans="1:5" x14ac:dyDescent="0.3">
      <c r="A15" s="15" t="s">
        <v>111</v>
      </c>
      <c r="B15" s="16" t="s">
        <v>108</v>
      </c>
      <c r="C15" s="17" t="s">
        <v>100</v>
      </c>
      <c r="D15" s="18">
        <v>30</v>
      </c>
      <c r="E15" s="19">
        <v>40</v>
      </c>
    </row>
    <row r="16" spans="1:5" x14ac:dyDescent="0.3">
      <c r="A16" s="15" t="s">
        <v>112</v>
      </c>
      <c r="B16" s="16" t="s">
        <v>108</v>
      </c>
      <c r="C16" s="17" t="s">
        <v>113</v>
      </c>
      <c r="D16" s="18">
        <v>30</v>
      </c>
      <c r="E16" s="19">
        <v>40</v>
      </c>
    </row>
    <row r="17" spans="1:5" x14ac:dyDescent="0.3">
      <c r="A17" s="15" t="s">
        <v>114</v>
      </c>
      <c r="B17" s="16" t="s">
        <v>108</v>
      </c>
      <c r="C17" s="17" t="s">
        <v>100</v>
      </c>
      <c r="D17" s="18">
        <v>30</v>
      </c>
      <c r="E17" s="19">
        <v>40</v>
      </c>
    </row>
    <row r="18" spans="1:5" x14ac:dyDescent="0.3">
      <c r="A18" s="15" t="s">
        <v>115</v>
      </c>
      <c r="B18" s="16" t="s">
        <v>116</v>
      </c>
      <c r="C18" s="17" t="s">
        <v>100</v>
      </c>
      <c r="D18" s="18">
        <v>30</v>
      </c>
      <c r="E18" s="19">
        <v>40</v>
      </c>
    </row>
    <row r="19" spans="1:5" x14ac:dyDescent="0.3">
      <c r="A19" s="15" t="s">
        <v>117</v>
      </c>
      <c r="B19" s="16" t="s">
        <v>116</v>
      </c>
      <c r="C19" s="17" t="s">
        <v>100</v>
      </c>
      <c r="D19" s="18">
        <v>30</v>
      </c>
      <c r="E19" s="19">
        <v>40</v>
      </c>
    </row>
    <row r="20" spans="1:5" x14ac:dyDescent="0.3">
      <c r="A20" s="15" t="s">
        <v>118</v>
      </c>
      <c r="B20" s="16" t="s">
        <v>116</v>
      </c>
      <c r="C20" s="17" t="s">
        <v>100</v>
      </c>
      <c r="D20" s="18">
        <v>30</v>
      </c>
      <c r="E20" s="19">
        <v>40</v>
      </c>
    </row>
    <row r="21" spans="1:5" x14ac:dyDescent="0.3">
      <c r="A21" s="15" t="s">
        <v>119</v>
      </c>
      <c r="B21" s="16" t="s">
        <v>116</v>
      </c>
      <c r="C21" s="17" t="s">
        <v>100</v>
      </c>
      <c r="D21" s="18">
        <v>30</v>
      </c>
      <c r="E21" s="19">
        <v>40</v>
      </c>
    </row>
    <row r="22" spans="1:5" x14ac:dyDescent="0.3">
      <c r="A22" s="15" t="s">
        <v>120</v>
      </c>
      <c r="B22" s="16" t="s">
        <v>116</v>
      </c>
      <c r="C22" s="17" t="s">
        <v>100</v>
      </c>
      <c r="D22" s="18">
        <v>30</v>
      </c>
      <c r="E22" s="19">
        <v>40</v>
      </c>
    </row>
    <row r="23" spans="1:5" x14ac:dyDescent="0.3">
      <c r="A23" s="15" t="s">
        <v>121</v>
      </c>
      <c r="B23" s="16" t="s">
        <v>116</v>
      </c>
      <c r="C23" s="17" t="s">
        <v>100</v>
      </c>
      <c r="D23" s="18">
        <v>30</v>
      </c>
      <c r="E23" s="19">
        <v>40</v>
      </c>
    </row>
    <row r="24" spans="1:5" x14ac:dyDescent="0.3">
      <c r="A24" s="15" t="s">
        <v>122</v>
      </c>
      <c r="B24" s="16" t="s">
        <v>116</v>
      </c>
      <c r="C24" s="17" t="s">
        <v>100</v>
      </c>
      <c r="D24" s="18">
        <v>30</v>
      </c>
      <c r="E24" s="19">
        <v>40</v>
      </c>
    </row>
    <row r="25" spans="1:5" x14ac:dyDescent="0.3">
      <c r="A25" s="15" t="s">
        <v>123</v>
      </c>
      <c r="B25" s="16" t="s">
        <v>116</v>
      </c>
      <c r="C25" s="17" t="s">
        <v>100</v>
      </c>
      <c r="D25" s="18">
        <v>30</v>
      </c>
      <c r="E25" s="19">
        <v>40</v>
      </c>
    </row>
    <row r="26" spans="1:5" x14ac:dyDescent="0.3">
      <c r="A26" s="15" t="s">
        <v>124</v>
      </c>
      <c r="B26" s="16" t="s">
        <v>125</v>
      </c>
      <c r="C26" s="17" t="s">
        <v>100</v>
      </c>
      <c r="D26" s="18">
        <v>30</v>
      </c>
      <c r="E26" s="19">
        <v>40</v>
      </c>
    </row>
    <row r="27" spans="1:5" x14ac:dyDescent="0.3">
      <c r="A27" s="15" t="s">
        <v>126</v>
      </c>
      <c r="B27" s="16" t="s">
        <v>125</v>
      </c>
      <c r="C27" s="17" t="s">
        <v>100</v>
      </c>
      <c r="D27" s="18">
        <v>30</v>
      </c>
      <c r="E27" s="19">
        <v>40</v>
      </c>
    </row>
    <row r="28" spans="1:5" x14ac:dyDescent="0.3">
      <c r="A28" s="15" t="s">
        <v>127</v>
      </c>
      <c r="B28" s="16" t="s">
        <v>125</v>
      </c>
      <c r="C28" s="17" t="s">
        <v>100</v>
      </c>
      <c r="D28" s="18">
        <v>30</v>
      </c>
      <c r="E28" s="19">
        <v>40</v>
      </c>
    </row>
    <row r="29" spans="1:5" x14ac:dyDescent="0.3">
      <c r="A29" s="15" t="s">
        <v>128</v>
      </c>
      <c r="B29" s="16" t="s">
        <v>125</v>
      </c>
      <c r="C29" s="17" t="s">
        <v>100</v>
      </c>
      <c r="D29" s="18">
        <v>30</v>
      </c>
      <c r="E29" s="19">
        <v>40</v>
      </c>
    </row>
    <row r="30" spans="1:5" x14ac:dyDescent="0.3">
      <c r="A30" s="15" t="s">
        <v>129</v>
      </c>
      <c r="B30" s="16" t="s">
        <v>125</v>
      </c>
      <c r="C30" s="17" t="s">
        <v>100</v>
      </c>
      <c r="D30" s="18">
        <v>30</v>
      </c>
      <c r="E30" s="19">
        <v>40</v>
      </c>
    </row>
    <row r="31" spans="1:5" x14ac:dyDescent="0.3">
      <c r="A31" s="15" t="s">
        <v>130</v>
      </c>
      <c r="B31" s="16" t="s">
        <v>125</v>
      </c>
      <c r="C31" s="17" t="s">
        <v>100</v>
      </c>
      <c r="D31" s="18">
        <v>30</v>
      </c>
      <c r="E31" s="19">
        <v>40</v>
      </c>
    </row>
    <row r="32" spans="1:5" x14ac:dyDescent="0.3">
      <c r="A32" s="15" t="s">
        <v>131</v>
      </c>
      <c r="B32" s="16" t="s">
        <v>125</v>
      </c>
      <c r="C32" s="17" t="s">
        <v>100</v>
      </c>
      <c r="D32" s="18">
        <v>30</v>
      </c>
      <c r="E32" s="19">
        <v>40</v>
      </c>
    </row>
    <row r="33" spans="1:5" x14ac:dyDescent="0.3">
      <c r="A33" s="15" t="s">
        <v>132</v>
      </c>
      <c r="B33" s="16" t="s">
        <v>125</v>
      </c>
      <c r="C33" s="17" t="s">
        <v>100</v>
      </c>
      <c r="D33" s="18">
        <v>30</v>
      </c>
      <c r="E33" s="19">
        <v>40</v>
      </c>
    </row>
    <row r="34" spans="1:5" x14ac:dyDescent="0.3">
      <c r="A34" s="15" t="s">
        <v>133</v>
      </c>
      <c r="B34" s="16" t="s">
        <v>134</v>
      </c>
      <c r="C34" s="17" t="s">
        <v>100</v>
      </c>
      <c r="D34" s="18">
        <v>30</v>
      </c>
      <c r="E34" s="19">
        <v>40</v>
      </c>
    </row>
    <row r="35" spans="1:5" x14ac:dyDescent="0.3">
      <c r="A35" s="15" t="s">
        <v>135</v>
      </c>
      <c r="B35" s="16" t="s">
        <v>134</v>
      </c>
      <c r="C35" s="17" t="s">
        <v>100</v>
      </c>
      <c r="D35" s="18">
        <v>30</v>
      </c>
      <c r="E35" s="19">
        <v>40</v>
      </c>
    </row>
    <row r="36" spans="1:5" x14ac:dyDescent="0.3">
      <c r="A36" s="15" t="s">
        <v>136</v>
      </c>
      <c r="B36" s="16" t="s">
        <v>134</v>
      </c>
      <c r="C36" s="17" t="s">
        <v>100</v>
      </c>
      <c r="D36" s="18">
        <v>30</v>
      </c>
      <c r="E36" s="19">
        <v>40</v>
      </c>
    </row>
    <row r="37" spans="1:5" x14ac:dyDescent="0.3">
      <c r="A37" s="15" t="s">
        <v>137</v>
      </c>
      <c r="B37" s="16" t="s">
        <v>134</v>
      </c>
      <c r="C37" s="17" t="s">
        <v>113</v>
      </c>
      <c r="D37" s="18">
        <v>30</v>
      </c>
      <c r="E37" s="19">
        <v>40</v>
      </c>
    </row>
    <row r="38" spans="1:5" x14ac:dyDescent="0.3">
      <c r="A38" s="15" t="s">
        <v>138</v>
      </c>
      <c r="B38" s="16" t="s">
        <v>134</v>
      </c>
      <c r="C38" s="17" t="s">
        <v>113</v>
      </c>
      <c r="D38" s="18">
        <v>30</v>
      </c>
      <c r="E38" s="19">
        <v>40</v>
      </c>
    </row>
    <row r="39" spans="1:5" x14ac:dyDescent="0.3">
      <c r="A39" s="15" t="s">
        <v>139</v>
      </c>
      <c r="B39" s="16" t="s">
        <v>134</v>
      </c>
      <c r="C39" s="17" t="s">
        <v>113</v>
      </c>
      <c r="D39" s="18">
        <v>30</v>
      </c>
      <c r="E39" s="19">
        <v>40</v>
      </c>
    </row>
    <row r="40" spans="1:5" x14ac:dyDescent="0.3">
      <c r="A40" s="15" t="s">
        <v>140</v>
      </c>
      <c r="B40" s="16" t="s">
        <v>134</v>
      </c>
      <c r="C40" s="17" t="s">
        <v>113</v>
      </c>
      <c r="D40" s="18">
        <v>30</v>
      </c>
      <c r="E40" s="19">
        <v>40</v>
      </c>
    </row>
    <row r="41" spans="1:5" x14ac:dyDescent="0.3">
      <c r="A41" s="15" t="s">
        <v>141</v>
      </c>
      <c r="B41" s="16" t="s">
        <v>134</v>
      </c>
      <c r="C41" s="17" t="s">
        <v>113</v>
      </c>
      <c r="D41" s="18">
        <v>30</v>
      </c>
      <c r="E41" s="19">
        <v>40</v>
      </c>
    </row>
    <row r="42" spans="1:5" x14ac:dyDescent="0.3">
      <c r="A42" s="15" t="s">
        <v>98</v>
      </c>
      <c r="B42" s="16" t="s">
        <v>142</v>
      </c>
      <c r="C42" s="17" t="s">
        <v>100</v>
      </c>
      <c r="D42" s="18">
        <v>30</v>
      </c>
      <c r="E42" s="19">
        <v>40</v>
      </c>
    </row>
    <row r="43" spans="1:5" x14ac:dyDescent="0.3">
      <c r="A43" s="15" t="s">
        <v>101</v>
      </c>
      <c r="B43" s="16" t="s">
        <v>142</v>
      </c>
      <c r="C43" s="17" t="s">
        <v>100</v>
      </c>
      <c r="D43" s="18">
        <v>30</v>
      </c>
      <c r="E43" s="19">
        <v>40</v>
      </c>
    </row>
    <row r="44" spans="1:5" x14ac:dyDescent="0.3">
      <c r="A44" s="15" t="s">
        <v>102</v>
      </c>
      <c r="B44" s="16" t="s">
        <v>142</v>
      </c>
      <c r="C44" s="17" t="s">
        <v>100</v>
      </c>
      <c r="D44" s="18">
        <v>30</v>
      </c>
      <c r="E44" s="19">
        <v>40</v>
      </c>
    </row>
    <row r="45" spans="1:5" x14ac:dyDescent="0.3">
      <c r="A45" s="15" t="s">
        <v>103</v>
      </c>
      <c r="B45" s="16" t="s">
        <v>142</v>
      </c>
      <c r="C45" s="17" t="s">
        <v>100</v>
      </c>
      <c r="D45" s="18">
        <v>30</v>
      </c>
      <c r="E45" s="19">
        <v>40</v>
      </c>
    </row>
    <row r="46" spans="1:5" x14ac:dyDescent="0.3">
      <c r="A46" s="15" t="s">
        <v>104</v>
      </c>
      <c r="B46" s="16" t="s">
        <v>142</v>
      </c>
      <c r="C46" s="17" t="s">
        <v>100</v>
      </c>
      <c r="D46" s="18">
        <v>30</v>
      </c>
      <c r="E46" s="19">
        <v>40</v>
      </c>
    </row>
    <row r="47" spans="1:5" x14ac:dyDescent="0.3">
      <c r="A47" s="15" t="s">
        <v>105</v>
      </c>
      <c r="B47" s="16" t="s">
        <v>142</v>
      </c>
      <c r="C47" s="17" t="s">
        <v>100</v>
      </c>
      <c r="D47" s="18">
        <v>30</v>
      </c>
      <c r="E47" s="19">
        <v>40</v>
      </c>
    </row>
    <row r="48" spans="1:5" x14ac:dyDescent="0.3">
      <c r="A48" s="15" t="s">
        <v>106</v>
      </c>
      <c r="B48" s="16" t="s">
        <v>142</v>
      </c>
      <c r="C48" s="17" t="s">
        <v>100</v>
      </c>
      <c r="D48" s="18">
        <v>30</v>
      </c>
      <c r="E48" s="19">
        <v>40</v>
      </c>
    </row>
    <row r="49" spans="1:5" x14ac:dyDescent="0.3">
      <c r="A49" s="15" t="s">
        <v>107</v>
      </c>
      <c r="B49" s="16" t="s">
        <v>143</v>
      </c>
      <c r="C49" s="17" t="s">
        <v>100</v>
      </c>
      <c r="D49" s="18">
        <v>30</v>
      </c>
      <c r="E49" s="19">
        <v>40</v>
      </c>
    </row>
    <row r="50" spans="1:5" x14ac:dyDescent="0.3">
      <c r="A50" s="15" t="s">
        <v>109</v>
      </c>
      <c r="B50" s="16" t="s">
        <v>143</v>
      </c>
      <c r="C50" s="17" t="s">
        <v>100</v>
      </c>
      <c r="D50" s="18">
        <v>30</v>
      </c>
      <c r="E50" s="19">
        <v>40</v>
      </c>
    </row>
    <row r="51" spans="1:5" x14ac:dyDescent="0.3">
      <c r="A51" s="15" t="s">
        <v>110</v>
      </c>
      <c r="B51" s="16" t="s">
        <v>143</v>
      </c>
      <c r="C51" s="17" t="s">
        <v>100</v>
      </c>
      <c r="D51" s="18">
        <v>30</v>
      </c>
      <c r="E51" s="19">
        <v>40</v>
      </c>
    </row>
    <row r="52" spans="1:5" x14ac:dyDescent="0.3">
      <c r="A52" s="15" t="s">
        <v>111</v>
      </c>
      <c r="B52" s="16" t="s">
        <v>143</v>
      </c>
      <c r="C52" s="17" t="s">
        <v>100</v>
      </c>
      <c r="D52" s="18">
        <v>30</v>
      </c>
      <c r="E52" s="19">
        <v>40</v>
      </c>
    </row>
    <row r="53" spans="1:5" x14ac:dyDescent="0.3">
      <c r="A53" s="15" t="s">
        <v>112</v>
      </c>
      <c r="B53" s="16" t="s">
        <v>143</v>
      </c>
      <c r="C53" s="17" t="s">
        <v>100</v>
      </c>
      <c r="D53" s="18">
        <v>30</v>
      </c>
      <c r="E53" s="19">
        <v>40</v>
      </c>
    </row>
    <row r="54" spans="1:5" x14ac:dyDescent="0.3">
      <c r="A54" s="15" t="s">
        <v>114</v>
      </c>
      <c r="B54" s="16" t="s">
        <v>143</v>
      </c>
      <c r="C54" s="17" t="s">
        <v>100</v>
      </c>
      <c r="D54" s="18">
        <v>30</v>
      </c>
      <c r="E54" s="19">
        <v>40</v>
      </c>
    </row>
    <row r="55" spans="1:5" x14ac:dyDescent="0.3">
      <c r="A55" s="15" t="s">
        <v>115</v>
      </c>
      <c r="B55" s="16" t="s">
        <v>144</v>
      </c>
      <c r="C55" s="17" t="s">
        <v>100</v>
      </c>
      <c r="D55" s="18">
        <v>30</v>
      </c>
      <c r="E55" s="19">
        <v>40</v>
      </c>
    </row>
    <row r="56" spans="1:5" x14ac:dyDescent="0.3">
      <c r="A56" s="15" t="s">
        <v>117</v>
      </c>
      <c r="B56" s="16" t="s">
        <v>144</v>
      </c>
      <c r="C56" s="17" t="s">
        <v>100</v>
      </c>
      <c r="D56" s="18">
        <v>30</v>
      </c>
      <c r="E56" s="19">
        <v>40</v>
      </c>
    </row>
    <row r="57" spans="1:5" x14ac:dyDescent="0.3">
      <c r="A57" s="15" t="s">
        <v>118</v>
      </c>
      <c r="B57" s="16" t="s">
        <v>144</v>
      </c>
      <c r="C57" s="17" t="s">
        <v>100</v>
      </c>
      <c r="D57" s="18">
        <v>30</v>
      </c>
      <c r="E57" s="19">
        <v>40</v>
      </c>
    </row>
    <row r="58" spans="1:5" x14ac:dyDescent="0.3">
      <c r="A58" s="15" t="s">
        <v>119</v>
      </c>
      <c r="B58" s="16" t="s">
        <v>144</v>
      </c>
      <c r="C58" s="17" t="s">
        <v>100</v>
      </c>
      <c r="D58" s="18">
        <v>30</v>
      </c>
      <c r="E58" s="19">
        <v>40</v>
      </c>
    </row>
    <row r="59" spans="1:5" x14ac:dyDescent="0.3">
      <c r="A59" s="15" t="s">
        <v>120</v>
      </c>
      <c r="B59" s="16" t="s">
        <v>144</v>
      </c>
      <c r="C59" s="17" t="s">
        <v>100</v>
      </c>
      <c r="D59" s="18">
        <v>30</v>
      </c>
      <c r="E59" s="19">
        <v>40</v>
      </c>
    </row>
    <row r="60" spans="1:5" x14ac:dyDescent="0.3">
      <c r="A60" s="15" t="s">
        <v>121</v>
      </c>
      <c r="B60" s="16" t="s">
        <v>144</v>
      </c>
      <c r="C60" s="17" t="s">
        <v>100</v>
      </c>
      <c r="D60" s="18">
        <v>30</v>
      </c>
      <c r="E60" s="19">
        <v>40</v>
      </c>
    </row>
    <row r="61" spans="1:5" x14ac:dyDescent="0.3">
      <c r="A61" s="15" t="s">
        <v>122</v>
      </c>
      <c r="B61" s="16" t="s">
        <v>144</v>
      </c>
      <c r="C61" s="17" t="s">
        <v>100</v>
      </c>
      <c r="D61" s="18">
        <v>30</v>
      </c>
      <c r="E61" s="19">
        <v>40</v>
      </c>
    </row>
    <row r="62" spans="1:5" x14ac:dyDescent="0.3">
      <c r="A62" s="15" t="s">
        <v>123</v>
      </c>
      <c r="B62" s="16" t="s">
        <v>144</v>
      </c>
      <c r="C62" s="17" t="s">
        <v>100</v>
      </c>
      <c r="D62" s="18">
        <v>30</v>
      </c>
      <c r="E62" s="19">
        <v>40</v>
      </c>
    </row>
    <row r="63" spans="1:5" x14ac:dyDescent="0.3">
      <c r="A63" s="15" t="s">
        <v>124</v>
      </c>
      <c r="B63" s="16" t="s">
        <v>145</v>
      </c>
      <c r="C63" s="17" t="s">
        <v>113</v>
      </c>
      <c r="D63" s="18">
        <v>30</v>
      </c>
      <c r="E63" s="19">
        <v>40</v>
      </c>
    </row>
    <row r="64" spans="1:5" x14ac:dyDescent="0.3">
      <c r="A64" s="15" t="s">
        <v>126</v>
      </c>
      <c r="B64" s="16" t="s">
        <v>145</v>
      </c>
      <c r="C64" s="17" t="s">
        <v>113</v>
      </c>
      <c r="D64" s="18">
        <v>30</v>
      </c>
      <c r="E64" s="19">
        <v>40</v>
      </c>
    </row>
    <row r="65" spans="1:5" x14ac:dyDescent="0.3">
      <c r="A65" s="15" t="s">
        <v>127</v>
      </c>
      <c r="B65" s="16" t="s">
        <v>145</v>
      </c>
      <c r="C65" s="17" t="s">
        <v>113</v>
      </c>
      <c r="D65" s="18">
        <v>30</v>
      </c>
      <c r="E65" s="19">
        <v>40</v>
      </c>
    </row>
    <row r="66" spans="1:5" x14ac:dyDescent="0.3">
      <c r="A66" s="15" t="s">
        <v>128</v>
      </c>
      <c r="B66" s="16" t="s">
        <v>145</v>
      </c>
      <c r="C66" s="17" t="s">
        <v>100</v>
      </c>
      <c r="D66" s="18">
        <v>30</v>
      </c>
      <c r="E66" s="19">
        <v>40</v>
      </c>
    </row>
    <row r="67" spans="1:5" x14ac:dyDescent="0.3">
      <c r="A67" s="15" t="s">
        <v>129</v>
      </c>
      <c r="B67" s="16" t="s">
        <v>145</v>
      </c>
      <c r="C67" s="17" t="s">
        <v>100</v>
      </c>
      <c r="D67" s="18">
        <v>30</v>
      </c>
      <c r="E67" s="19">
        <v>40</v>
      </c>
    </row>
    <row r="68" spans="1:5" x14ac:dyDescent="0.3">
      <c r="A68" s="15" t="s">
        <v>130</v>
      </c>
      <c r="B68" s="16" t="s">
        <v>145</v>
      </c>
      <c r="C68" s="17" t="s">
        <v>100</v>
      </c>
      <c r="D68" s="18">
        <v>30</v>
      </c>
      <c r="E68" s="19">
        <v>40</v>
      </c>
    </row>
    <row r="69" spans="1:5" x14ac:dyDescent="0.3">
      <c r="A69" s="15" t="s">
        <v>131</v>
      </c>
      <c r="B69" s="16" t="s">
        <v>145</v>
      </c>
      <c r="C69" s="17" t="s">
        <v>113</v>
      </c>
      <c r="D69" s="18">
        <v>30</v>
      </c>
      <c r="E69" s="19">
        <v>40</v>
      </c>
    </row>
    <row r="70" spans="1:5" x14ac:dyDescent="0.3">
      <c r="A70" s="15" t="s">
        <v>132</v>
      </c>
      <c r="B70" s="16" t="s">
        <v>145</v>
      </c>
      <c r="C70" s="17" t="s">
        <v>100</v>
      </c>
      <c r="D70" s="18">
        <v>30</v>
      </c>
      <c r="E70" s="19">
        <v>40</v>
      </c>
    </row>
    <row r="71" spans="1:5" x14ac:dyDescent="0.3">
      <c r="A71" s="15" t="s">
        <v>133</v>
      </c>
      <c r="B71" s="16" t="s">
        <v>146</v>
      </c>
      <c r="C71" s="17" t="s">
        <v>100</v>
      </c>
      <c r="D71" s="18">
        <v>30</v>
      </c>
      <c r="E71" s="19">
        <v>40</v>
      </c>
    </row>
    <row r="72" spans="1:5" x14ac:dyDescent="0.3">
      <c r="A72" s="15" t="s">
        <v>135</v>
      </c>
      <c r="B72" s="16" t="s">
        <v>146</v>
      </c>
      <c r="C72" s="17" t="s">
        <v>100</v>
      </c>
      <c r="D72" s="18">
        <v>30</v>
      </c>
      <c r="E72" s="19">
        <v>40</v>
      </c>
    </row>
    <row r="73" spans="1:5" x14ac:dyDescent="0.3">
      <c r="A73" s="15" t="s">
        <v>136</v>
      </c>
      <c r="B73" s="16" t="s">
        <v>146</v>
      </c>
      <c r="C73" s="17" t="s">
        <v>100</v>
      </c>
      <c r="D73" s="18">
        <v>30</v>
      </c>
      <c r="E73" s="19">
        <v>40</v>
      </c>
    </row>
    <row r="74" spans="1:5" x14ac:dyDescent="0.3">
      <c r="A74" s="15" t="s">
        <v>137</v>
      </c>
      <c r="B74" s="16" t="s">
        <v>146</v>
      </c>
      <c r="C74" s="17" t="s">
        <v>100</v>
      </c>
      <c r="D74" s="18">
        <v>30</v>
      </c>
      <c r="E74" s="19">
        <v>40</v>
      </c>
    </row>
    <row r="75" spans="1:5" x14ac:dyDescent="0.3">
      <c r="A75" s="15" t="s">
        <v>138</v>
      </c>
      <c r="B75" s="16" t="s">
        <v>146</v>
      </c>
      <c r="C75" s="17" t="s">
        <v>100</v>
      </c>
      <c r="D75" s="18">
        <v>30</v>
      </c>
      <c r="E75" s="19">
        <v>40</v>
      </c>
    </row>
    <row r="76" spans="1:5" x14ac:dyDescent="0.3">
      <c r="A76" s="15" t="s">
        <v>139</v>
      </c>
      <c r="B76" s="16" t="s">
        <v>146</v>
      </c>
      <c r="C76" s="17" t="s">
        <v>100</v>
      </c>
      <c r="D76" s="18">
        <v>30</v>
      </c>
      <c r="E76" s="19">
        <v>40</v>
      </c>
    </row>
    <row r="77" spans="1:5" x14ac:dyDescent="0.3">
      <c r="A77" s="15" t="s">
        <v>140</v>
      </c>
      <c r="B77" s="16" t="s">
        <v>146</v>
      </c>
      <c r="C77" s="17" t="s">
        <v>100</v>
      </c>
      <c r="D77" s="18">
        <v>30</v>
      </c>
      <c r="E77" s="19">
        <v>40</v>
      </c>
    </row>
    <row r="78" spans="1:5" x14ac:dyDescent="0.3">
      <c r="A78" s="15" t="s">
        <v>141</v>
      </c>
      <c r="B78" s="16" t="s">
        <v>146</v>
      </c>
      <c r="C78" s="17" t="s">
        <v>100</v>
      </c>
      <c r="D78" s="18">
        <v>30</v>
      </c>
      <c r="E78" s="19">
        <v>40</v>
      </c>
    </row>
    <row r="79" spans="1:5" x14ac:dyDescent="0.3">
      <c r="A79" s="15" t="s">
        <v>98</v>
      </c>
      <c r="B79" s="16" t="s">
        <v>147</v>
      </c>
      <c r="C79" s="17" t="s">
        <v>100</v>
      </c>
      <c r="D79" s="18">
        <v>30</v>
      </c>
      <c r="E79" s="19">
        <v>40</v>
      </c>
    </row>
    <row r="80" spans="1:5" x14ac:dyDescent="0.3">
      <c r="A80" s="15" t="s">
        <v>101</v>
      </c>
      <c r="B80" s="16" t="s">
        <v>147</v>
      </c>
      <c r="C80" s="17" t="s">
        <v>100</v>
      </c>
      <c r="D80" s="18">
        <v>30</v>
      </c>
      <c r="E80" s="19">
        <v>40</v>
      </c>
    </row>
    <row r="81" spans="1:5" x14ac:dyDescent="0.3">
      <c r="A81" s="15" t="s">
        <v>102</v>
      </c>
      <c r="B81" s="16" t="s">
        <v>147</v>
      </c>
      <c r="C81" s="17" t="s">
        <v>100</v>
      </c>
      <c r="D81" s="18">
        <v>30</v>
      </c>
      <c r="E81" s="19">
        <v>40</v>
      </c>
    </row>
    <row r="82" spans="1:5" x14ac:dyDescent="0.3">
      <c r="A82" s="15" t="s">
        <v>103</v>
      </c>
      <c r="B82" s="16" t="s">
        <v>147</v>
      </c>
      <c r="C82" s="17" t="s">
        <v>100</v>
      </c>
      <c r="D82" s="18">
        <v>30</v>
      </c>
      <c r="E82" s="19">
        <v>40</v>
      </c>
    </row>
    <row r="83" spans="1:5" x14ac:dyDescent="0.3">
      <c r="A83" s="15" t="s">
        <v>104</v>
      </c>
      <c r="B83" s="16" t="s">
        <v>147</v>
      </c>
      <c r="C83" s="17" t="s">
        <v>100</v>
      </c>
      <c r="D83" s="18">
        <v>30</v>
      </c>
      <c r="E83" s="19">
        <v>40</v>
      </c>
    </row>
    <row r="84" spans="1:5" x14ac:dyDescent="0.3">
      <c r="A84" s="15" t="s">
        <v>105</v>
      </c>
      <c r="B84" s="16" t="s">
        <v>147</v>
      </c>
      <c r="C84" s="17" t="s">
        <v>100</v>
      </c>
      <c r="D84" s="18">
        <v>30</v>
      </c>
      <c r="E84" s="19">
        <v>40</v>
      </c>
    </row>
    <row r="85" spans="1:5" x14ac:dyDescent="0.3">
      <c r="A85" s="15" t="s">
        <v>106</v>
      </c>
      <c r="B85" s="16" t="s">
        <v>147</v>
      </c>
      <c r="C85" s="17" t="s">
        <v>100</v>
      </c>
      <c r="D85" s="18">
        <v>30</v>
      </c>
      <c r="E85" s="19">
        <v>40</v>
      </c>
    </row>
    <row r="86" spans="1:5" x14ac:dyDescent="0.3">
      <c r="A86" s="15" t="s">
        <v>107</v>
      </c>
      <c r="B86" s="16" t="s">
        <v>148</v>
      </c>
      <c r="C86" s="17" t="s">
        <v>100</v>
      </c>
      <c r="D86" s="18">
        <v>30</v>
      </c>
      <c r="E86" s="19">
        <v>40</v>
      </c>
    </row>
    <row r="87" spans="1:5" x14ac:dyDescent="0.3">
      <c r="A87" s="15" t="s">
        <v>109</v>
      </c>
      <c r="B87" s="16" t="s">
        <v>148</v>
      </c>
      <c r="C87" s="17" t="s">
        <v>100</v>
      </c>
      <c r="D87" s="18">
        <v>30</v>
      </c>
      <c r="E87" s="19">
        <v>40</v>
      </c>
    </row>
    <row r="88" spans="1:5" x14ac:dyDescent="0.3">
      <c r="A88" s="15" t="s">
        <v>110</v>
      </c>
      <c r="B88" s="16" t="s">
        <v>148</v>
      </c>
      <c r="C88" s="17" t="s">
        <v>100</v>
      </c>
      <c r="D88" s="18">
        <v>30</v>
      </c>
      <c r="E88" s="19">
        <v>40</v>
      </c>
    </row>
    <row r="89" spans="1:5" x14ac:dyDescent="0.3">
      <c r="A89" s="15" t="s">
        <v>111</v>
      </c>
      <c r="B89" s="16" t="s">
        <v>148</v>
      </c>
      <c r="C89" s="17" t="s">
        <v>100</v>
      </c>
      <c r="D89" s="18">
        <v>30</v>
      </c>
      <c r="E89" s="19">
        <v>40</v>
      </c>
    </row>
    <row r="90" spans="1:5" x14ac:dyDescent="0.3">
      <c r="A90" s="15" t="s">
        <v>112</v>
      </c>
      <c r="B90" s="16" t="s">
        <v>148</v>
      </c>
      <c r="C90" s="17" t="s">
        <v>100</v>
      </c>
      <c r="D90" s="18">
        <v>30</v>
      </c>
      <c r="E90" s="19">
        <v>40</v>
      </c>
    </row>
    <row r="91" spans="1:5" x14ac:dyDescent="0.3">
      <c r="A91" s="15" t="s">
        <v>114</v>
      </c>
      <c r="B91" s="16" t="s">
        <v>148</v>
      </c>
      <c r="C91" s="17" t="s">
        <v>100</v>
      </c>
      <c r="D91" s="18">
        <v>30</v>
      </c>
      <c r="E91" s="19">
        <v>40</v>
      </c>
    </row>
    <row r="92" spans="1:5" x14ac:dyDescent="0.3">
      <c r="A92" s="15" t="s">
        <v>115</v>
      </c>
      <c r="B92" s="16" t="s">
        <v>149</v>
      </c>
      <c r="C92" s="17" t="s">
        <v>100</v>
      </c>
      <c r="D92" s="18">
        <v>30</v>
      </c>
      <c r="E92" s="19">
        <v>40</v>
      </c>
    </row>
    <row r="93" spans="1:5" x14ac:dyDescent="0.3">
      <c r="A93" s="15" t="s">
        <v>117</v>
      </c>
      <c r="B93" s="16" t="s">
        <v>149</v>
      </c>
      <c r="C93" s="17" t="s">
        <v>100</v>
      </c>
      <c r="D93" s="18">
        <v>30</v>
      </c>
      <c r="E93" s="19">
        <v>40</v>
      </c>
    </row>
    <row r="94" spans="1:5" x14ac:dyDescent="0.3">
      <c r="A94" s="15" t="s">
        <v>118</v>
      </c>
      <c r="B94" s="16" t="s">
        <v>149</v>
      </c>
      <c r="C94" s="17" t="s">
        <v>100</v>
      </c>
      <c r="D94" s="18">
        <v>30</v>
      </c>
      <c r="E94" s="19">
        <v>40</v>
      </c>
    </row>
    <row r="95" spans="1:5" x14ac:dyDescent="0.3">
      <c r="A95" s="15" t="s">
        <v>119</v>
      </c>
      <c r="B95" s="16" t="s">
        <v>149</v>
      </c>
      <c r="C95" s="17" t="s">
        <v>100</v>
      </c>
      <c r="D95" s="18">
        <v>30</v>
      </c>
      <c r="E95" s="19">
        <v>40</v>
      </c>
    </row>
    <row r="96" spans="1:5" x14ac:dyDescent="0.3">
      <c r="A96" s="15" t="s">
        <v>120</v>
      </c>
      <c r="B96" s="16" t="s">
        <v>149</v>
      </c>
      <c r="C96" s="17" t="s">
        <v>100</v>
      </c>
      <c r="D96" s="18">
        <v>30</v>
      </c>
      <c r="E96" s="19">
        <v>40</v>
      </c>
    </row>
    <row r="97" spans="1:5" x14ac:dyDescent="0.3">
      <c r="A97" s="15" t="s">
        <v>121</v>
      </c>
      <c r="B97" s="16" t="s">
        <v>149</v>
      </c>
      <c r="C97" s="17" t="s">
        <v>100</v>
      </c>
      <c r="D97" s="18">
        <v>30</v>
      </c>
      <c r="E97" s="19">
        <v>40</v>
      </c>
    </row>
    <row r="98" spans="1:5" x14ac:dyDescent="0.3">
      <c r="A98" s="15" t="s">
        <v>122</v>
      </c>
      <c r="B98" s="16" t="s">
        <v>149</v>
      </c>
      <c r="C98" s="17" t="s">
        <v>113</v>
      </c>
      <c r="D98" s="18">
        <v>30</v>
      </c>
      <c r="E98" s="19">
        <v>40</v>
      </c>
    </row>
    <row r="99" spans="1:5" x14ac:dyDescent="0.3">
      <c r="A99" s="15" t="s">
        <v>123</v>
      </c>
      <c r="B99" s="16" t="s">
        <v>149</v>
      </c>
      <c r="C99" s="17" t="s">
        <v>100</v>
      </c>
      <c r="D99" s="18">
        <v>30</v>
      </c>
      <c r="E99" s="19">
        <v>40</v>
      </c>
    </row>
    <row r="100" spans="1:5" x14ac:dyDescent="0.3">
      <c r="A100" s="15" t="s">
        <v>124</v>
      </c>
      <c r="B100" s="16" t="s">
        <v>150</v>
      </c>
      <c r="C100" s="17" t="s">
        <v>100</v>
      </c>
      <c r="D100" s="18">
        <v>30</v>
      </c>
      <c r="E100" s="19">
        <v>40</v>
      </c>
    </row>
    <row r="101" spans="1:5" x14ac:dyDescent="0.3">
      <c r="A101" s="15" t="s">
        <v>126</v>
      </c>
      <c r="B101" s="16" t="s">
        <v>150</v>
      </c>
      <c r="C101" s="17" t="s">
        <v>100</v>
      </c>
      <c r="D101" s="18">
        <v>30</v>
      </c>
      <c r="E101" s="19">
        <v>40</v>
      </c>
    </row>
    <row r="102" spans="1:5" x14ac:dyDescent="0.3">
      <c r="A102" s="15" t="s">
        <v>127</v>
      </c>
      <c r="B102" s="16" t="s">
        <v>150</v>
      </c>
      <c r="C102" s="17" t="s">
        <v>100</v>
      </c>
      <c r="D102" s="18">
        <v>30</v>
      </c>
      <c r="E102" s="19">
        <v>40</v>
      </c>
    </row>
    <row r="103" spans="1:5" x14ac:dyDescent="0.3">
      <c r="A103" s="15" t="s">
        <v>128</v>
      </c>
      <c r="B103" s="16" t="s">
        <v>150</v>
      </c>
      <c r="C103" s="17" t="s">
        <v>100</v>
      </c>
      <c r="D103" s="18">
        <v>30</v>
      </c>
      <c r="E103" s="19">
        <v>40</v>
      </c>
    </row>
    <row r="104" spans="1:5" x14ac:dyDescent="0.3">
      <c r="A104" s="15" t="s">
        <v>129</v>
      </c>
      <c r="B104" s="16" t="s">
        <v>150</v>
      </c>
      <c r="C104" s="17" t="s">
        <v>100</v>
      </c>
      <c r="D104" s="18">
        <v>30</v>
      </c>
      <c r="E104" s="19">
        <v>40</v>
      </c>
    </row>
    <row r="105" spans="1:5" x14ac:dyDescent="0.3">
      <c r="A105" s="15" t="s">
        <v>130</v>
      </c>
      <c r="B105" s="16" t="s">
        <v>150</v>
      </c>
      <c r="C105" s="17" t="s">
        <v>100</v>
      </c>
      <c r="D105" s="18">
        <v>30</v>
      </c>
      <c r="E105" s="19">
        <v>40</v>
      </c>
    </row>
    <row r="106" spans="1:5" x14ac:dyDescent="0.3">
      <c r="A106" s="15" t="s">
        <v>131</v>
      </c>
      <c r="B106" s="16" t="s">
        <v>150</v>
      </c>
      <c r="C106" s="17" t="s">
        <v>100</v>
      </c>
      <c r="D106" s="18">
        <v>30</v>
      </c>
      <c r="E106" s="19">
        <v>40</v>
      </c>
    </row>
    <row r="107" spans="1:5" x14ac:dyDescent="0.3">
      <c r="A107" s="15" t="s">
        <v>132</v>
      </c>
      <c r="B107" s="16" t="s">
        <v>150</v>
      </c>
      <c r="C107" s="17" t="s">
        <v>100</v>
      </c>
      <c r="D107" s="18">
        <v>30</v>
      </c>
      <c r="E107" s="19">
        <v>40</v>
      </c>
    </row>
    <row r="108" spans="1:5" x14ac:dyDescent="0.3">
      <c r="A108" s="15" t="s">
        <v>124</v>
      </c>
      <c r="B108" s="16" t="s">
        <v>151</v>
      </c>
      <c r="C108" s="17" t="s">
        <v>100</v>
      </c>
      <c r="D108" s="18">
        <v>30</v>
      </c>
      <c r="E108" s="19">
        <v>40</v>
      </c>
    </row>
    <row r="109" spans="1:5" x14ac:dyDescent="0.3">
      <c r="A109" s="15" t="s">
        <v>126</v>
      </c>
      <c r="B109" s="16" t="s">
        <v>151</v>
      </c>
      <c r="C109" s="17" t="s">
        <v>100</v>
      </c>
      <c r="D109" s="18">
        <v>30</v>
      </c>
      <c r="E109" s="19">
        <v>40</v>
      </c>
    </row>
    <row r="110" spans="1:5" x14ac:dyDescent="0.3">
      <c r="A110" s="15" t="s">
        <v>127</v>
      </c>
      <c r="B110" s="16" t="s">
        <v>151</v>
      </c>
      <c r="C110" s="17" t="s">
        <v>100</v>
      </c>
      <c r="D110" s="18">
        <v>30</v>
      </c>
      <c r="E110" s="19">
        <v>40</v>
      </c>
    </row>
    <row r="111" spans="1:5" x14ac:dyDescent="0.3">
      <c r="A111" s="15" t="s">
        <v>128</v>
      </c>
      <c r="B111" s="16" t="s">
        <v>151</v>
      </c>
      <c r="C111" s="17" t="s">
        <v>100</v>
      </c>
      <c r="D111" s="18">
        <v>30</v>
      </c>
      <c r="E111" s="19">
        <v>40</v>
      </c>
    </row>
    <row r="112" spans="1:5" x14ac:dyDescent="0.3">
      <c r="A112" s="15" t="s">
        <v>129</v>
      </c>
      <c r="B112" s="16" t="s">
        <v>151</v>
      </c>
      <c r="C112" s="17" t="s">
        <v>100</v>
      </c>
      <c r="D112" s="18">
        <v>30</v>
      </c>
      <c r="E112" s="19">
        <v>40</v>
      </c>
    </row>
    <row r="113" spans="1:5" x14ac:dyDescent="0.3">
      <c r="A113" s="15" t="s">
        <v>130</v>
      </c>
      <c r="B113" s="16" t="s">
        <v>151</v>
      </c>
      <c r="C113" s="17" t="s">
        <v>100</v>
      </c>
      <c r="D113" s="18">
        <v>30</v>
      </c>
      <c r="E113" s="19">
        <v>40</v>
      </c>
    </row>
    <row r="114" spans="1:5" x14ac:dyDescent="0.3">
      <c r="A114" s="15" t="s">
        <v>131</v>
      </c>
      <c r="B114" s="16" t="s">
        <v>151</v>
      </c>
      <c r="C114" s="17" t="s">
        <v>100</v>
      </c>
      <c r="D114" s="18">
        <v>30</v>
      </c>
      <c r="E114" s="19">
        <v>40</v>
      </c>
    </row>
    <row r="115" spans="1:5" x14ac:dyDescent="0.3">
      <c r="A115" s="15" t="s">
        <v>132</v>
      </c>
      <c r="B115" s="16" t="s">
        <v>151</v>
      </c>
      <c r="C115" s="17" t="s">
        <v>100</v>
      </c>
      <c r="D115" s="18">
        <v>30</v>
      </c>
      <c r="E115" s="19">
        <v>40</v>
      </c>
    </row>
    <row r="116" spans="1:5" x14ac:dyDescent="0.3">
      <c r="A116" s="15" t="s">
        <v>98</v>
      </c>
      <c r="B116" s="16" t="s">
        <v>152</v>
      </c>
      <c r="C116" s="17" t="s">
        <v>100</v>
      </c>
      <c r="D116" s="18">
        <v>30</v>
      </c>
      <c r="E116" s="19">
        <v>40</v>
      </c>
    </row>
    <row r="117" spans="1:5" x14ac:dyDescent="0.3">
      <c r="A117" s="15" t="s">
        <v>101</v>
      </c>
      <c r="B117" s="16" t="s">
        <v>152</v>
      </c>
      <c r="C117" s="17" t="s">
        <v>100</v>
      </c>
      <c r="D117" s="18">
        <v>30</v>
      </c>
      <c r="E117" s="19">
        <v>40</v>
      </c>
    </row>
    <row r="118" spans="1:5" x14ac:dyDescent="0.3">
      <c r="A118" s="15" t="s">
        <v>102</v>
      </c>
      <c r="B118" s="16" t="s">
        <v>152</v>
      </c>
      <c r="C118" s="17" t="s">
        <v>100</v>
      </c>
      <c r="D118" s="18">
        <v>30</v>
      </c>
      <c r="E118" s="19">
        <v>40</v>
      </c>
    </row>
    <row r="119" spans="1:5" x14ac:dyDescent="0.3">
      <c r="A119" s="15" t="s">
        <v>103</v>
      </c>
      <c r="B119" s="16" t="s">
        <v>152</v>
      </c>
      <c r="C119" s="17" t="s">
        <v>100</v>
      </c>
      <c r="D119" s="18">
        <v>30</v>
      </c>
      <c r="E119" s="19">
        <v>40</v>
      </c>
    </row>
    <row r="120" spans="1:5" x14ac:dyDescent="0.3">
      <c r="A120" s="15" t="s">
        <v>104</v>
      </c>
      <c r="B120" s="16" t="s">
        <v>152</v>
      </c>
      <c r="C120" s="17" t="s">
        <v>100</v>
      </c>
      <c r="D120" s="18">
        <v>30</v>
      </c>
      <c r="E120" s="19">
        <v>40</v>
      </c>
    </row>
    <row r="121" spans="1:5" x14ac:dyDescent="0.3">
      <c r="A121" s="15" t="s">
        <v>105</v>
      </c>
      <c r="B121" s="16" t="s">
        <v>152</v>
      </c>
      <c r="C121" s="17" t="s">
        <v>100</v>
      </c>
      <c r="D121" s="18">
        <v>30</v>
      </c>
      <c r="E121" s="19">
        <v>40</v>
      </c>
    </row>
    <row r="122" spans="1:5" x14ac:dyDescent="0.3">
      <c r="A122" s="15" t="s">
        <v>106</v>
      </c>
      <c r="B122" s="16" t="s">
        <v>152</v>
      </c>
      <c r="C122" s="17" t="s">
        <v>100</v>
      </c>
      <c r="D122" s="18">
        <v>30</v>
      </c>
      <c r="E122" s="19">
        <v>40</v>
      </c>
    </row>
    <row r="123" spans="1:5" x14ac:dyDescent="0.3">
      <c r="A123" s="15" t="s">
        <v>107</v>
      </c>
      <c r="B123" s="16" t="s">
        <v>153</v>
      </c>
      <c r="C123" s="17" t="s">
        <v>100</v>
      </c>
      <c r="D123" s="18">
        <v>30</v>
      </c>
      <c r="E123" s="19">
        <v>40</v>
      </c>
    </row>
    <row r="124" spans="1:5" x14ac:dyDescent="0.3">
      <c r="A124" s="15" t="s">
        <v>109</v>
      </c>
      <c r="B124" s="16" t="s">
        <v>153</v>
      </c>
      <c r="C124" s="17" t="s">
        <v>100</v>
      </c>
      <c r="D124" s="18">
        <v>30</v>
      </c>
      <c r="E124" s="19">
        <v>40</v>
      </c>
    </row>
    <row r="125" spans="1:5" x14ac:dyDescent="0.3">
      <c r="A125" s="15" t="s">
        <v>110</v>
      </c>
      <c r="B125" s="16" t="s">
        <v>153</v>
      </c>
      <c r="C125" s="17" t="s">
        <v>100</v>
      </c>
      <c r="D125" s="18">
        <v>30</v>
      </c>
      <c r="E125" s="19">
        <v>40</v>
      </c>
    </row>
    <row r="126" spans="1:5" x14ac:dyDescent="0.3">
      <c r="A126" s="15" t="s">
        <v>111</v>
      </c>
      <c r="B126" s="16" t="s">
        <v>153</v>
      </c>
      <c r="C126" s="17" t="s">
        <v>100</v>
      </c>
      <c r="D126" s="18">
        <v>30</v>
      </c>
      <c r="E126" s="19">
        <v>40</v>
      </c>
    </row>
    <row r="127" spans="1:5" x14ac:dyDescent="0.3">
      <c r="A127" s="15" t="s">
        <v>112</v>
      </c>
      <c r="B127" s="16" t="s">
        <v>153</v>
      </c>
      <c r="C127" s="17" t="s">
        <v>100</v>
      </c>
      <c r="D127" s="18">
        <v>30</v>
      </c>
      <c r="E127" s="19">
        <v>40</v>
      </c>
    </row>
    <row r="128" spans="1:5" x14ac:dyDescent="0.3">
      <c r="A128" s="15" t="s">
        <v>114</v>
      </c>
      <c r="B128" s="16" t="s">
        <v>153</v>
      </c>
      <c r="C128" s="17" t="s">
        <v>100</v>
      </c>
      <c r="D128" s="18">
        <v>30</v>
      </c>
      <c r="E128" s="19">
        <v>40</v>
      </c>
    </row>
    <row r="129" spans="1:5" x14ac:dyDescent="0.3">
      <c r="A129" s="15" t="s">
        <v>115</v>
      </c>
      <c r="B129" s="16" t="s">
        <v>154</v>
      </c>
      <c r="C129" s="17" t="s">
        <v>113</v>
      </c>
      <c r="D129" s="18">
        <v>30</v>
      </c>
      <c r="E129" s="19">
        <v>40</v>
      </c>
    </row>
    <row r="130" spans="1:5" x14ac:dyDescent="0.3">
      <c r="A130" s="15" t="s">
        <v>117</v>
      </c>
      <c r="B130" s="16" t="s">
        <v>154</v>
      </c>
      <c r="C130" s="17" t="s">
        <v>113</v>
      </c>
      <c r="D130" s="18">
        <v>30</v>
      </c>
      <c r="E130" s="19">
        <v>40</v>
      </c>
    </row>
    <row r="131" spans="1:5" x14ac:dyDescent="0.3">
      <c r="A131" s="15" t="s">
        <v>118</v>
      </c>
      <c r="B131" s="16" t="s">
        <v>154</v>
      </c>
      <c r="C131" s="17" t="s">
        <v>113</v>
      </c>
      <c r="D131" s="18">
        <v>30</v>
      </c>
      <c r="E131" s="19">
        <v>40</v>
      </c>
    </row>
    <row r="132" spans="1:5" x14ac:dyDescent="0.3">
      <c r="A132" s="15" t="s">
        <v>119</v>
      </c>
      <c r="B132" s="16" t="s">
        <v>154</v>
      </c>
      <c r="C132" s="17" t="s">
        <v>113</v>
      </c>
      <c r="D132" s="18">
        <v>30</v>
      </c>
      <c r="E132" s="19">
        <v>40</v>
      </c>
    </row>
    <row r="133" spans="1:5" x14ac:dyDescent="0.3">
      <c r="A133" s="15" t="s">
        <v>120</v>
      </c>
      <c r="B133" s="16" t="s">
        <v>154</v>
      </c>
      <c r="C133" s="17" t="s">
        <v>113</v>
      </c>
      <c r="D133" s="18">
        <v>30</v>
      </c>
      <c r="E133" s="19">
        <v>40</v>
      </c>
    </row>
    <row r="134" spans="1:5" x14ac:dyDescent="0.3">
      <c r="A134" s="15" t="s">
        <v>121</v>
      </c>
      <c r="B134" s="16" t="s">
        <v>154</v>
      </c>
      <c r="C134" s="17" t="s">
        <v>113</v>
      </c>
      <c r="D134" s="18">
        <v>30</v>
      </c>
      <c r="E134" s="19">
        <v>40</v>
      </c>
    </row>
    <row r="135" spans="1:5" x14ac:dyDescent="0.3">
      <c r="A135" s="15" t="s">
        <v>122</v>
      </c>
      <c r="B135" s="16" t="s">
        <v>154</v>
      </c>
      <c r="C135" s="17" t="s">
        <v>113</v>
      </c>
      <c r="D135" s="18">
        <v>30</v>
      </c>
      <c r="E135" s="19">
        <v>40</v>
      </c>
    </row>
    <row r="136" spans="1:5" x14ac:dyDescent="0.3">
      <c r="A136" s="15" t="s">
        <v>123</v>
      </c>
      <c r="B136" s="16" t="s">
        <v>154</v>
      </c>
      <c r="C136" s="17" t="s">
        <v>113</v>
      </c>
      <c r="D136" s="18">
        <v>30</v>
      </c>
      <c r="E136" s="19">
        <v>40</v>
      </c>
    </row>
    <row r="137" spans="1:5" x14ac:dyDescent="0.3">
      <c r="A137" s="15" t="s">
        <v>124</v>
      </c>
      <c r="B137" s="16" t="s">
        <v>155</v>
      </c>
      <c r="C137" s="17" t="s">
        <v>100</v>
      </c>
      <c r="D137" s="18">
        <v>30</v>
      </c>
      <c r="E137" s="19">
        <v>40</v>
      </c>
    </row>
    <row r="138" spans="1:5" x14ac:dyDescent="0.3">
      <c r="A138" s="15" t="s">
        <v>126</v>
      </c>
      <c r="B138" s="16" t="s">
        <v>155</v>
      </c>
      <c r="C138" s="17" t="s">
        <v>100</v>
      </c>
      <c r="D138" s="18">
        <v>30</v>
      </c>
      <c r="E138" s="19">
        <v>40</v>
      </c>
    </row>
    <row r="139" spans="1:5" x14ac:dyDescent="0.3">
      <c r="A139" s="15" t="s">
        <v>127</v>
      </c>
      <c r="B139" s="16" t="s">
        <v>155</v>
      </c>
      <c r="C139" s="17" t="s">
        <v>100</v>
      </c>
      <c r="D139" s="18">
        <v>30</v>
      </c>
      <c r="E139" s="19">
        <v>40</v>
      </c>
    </row>
    <row r="140" spans="1:5" x14ac:dyDescent="0.3">
      <c r="A140" s="15" t="s">
        <v>128</v>
      </c>
      <c r="B140" s="16" t="s">
        <v>155</v>
      </c>
      <c r="C140" s="17" t="s">
        <v>100</v>
      </c>
      <c r="D140" s="18">
        <v>30</v>
      </c>
      <c r="E140" s="19">
        <v>40</v>
      </c>
    </row>
    <row r="141" spans="1:5" x14ac:dyDescent="0.3">
      <c r="A141" s="15" t="s">
        <v>129</v>
      </c>
      <c r="B141" s="16" t="s">
        <v>155</v>
      </c>
      <c r="C141" s="17" t="s">
        <v>113</v>
      </c>
      <c r="D141" s="18">
        <v>30</v>
      </c>
      <c r="E141" s="19">
        <v>40</v>
      </c>
    </row>
    <row r="142" spans="1:5" x14ac:dyDescent="0.3">
      <c r="A142" s="15" t="s">
        <v>130</v>
      </c>
      <c r="B142" s="16" t="s">
        <v>155</v>
      </c>
      <c r="C142" s="17" t="s">
        <v>100</v>
      </c>
      <c r="D142" s="18">
        <v>30</v>
      </c>
      <c r="E142" s="19">
        <v>40</v>
      </c>
    </row>
    <row r="143" spans="1:5" x14ac:dyDescent="0.3">
      <c r="A143" s="15" t="s">
        <v>131</v>
      </c>
      <c r="B143" s="16" t="s">
        <v>155</v>
      </c>
      <c r="C143" s="17" t="s">
        <v>100</v>
      </c>
      <c r="D143" s="18">
        <v>30</v>
      </c>
      <c r="E143" s="19">
        <v>40</v>
      </c>
    </row>
    <row r="144" spans="1:5" x14ac:dyDescent="0.3">
      <c r="A144" s="15" t="s">
        <v>132</v>
      </c>
      <c r="B144" s="16" t="s">
        <v>155</v>
      </c>
      <c r="C144" s="17" t="s">
        <v>100</v>
      </c>
      <c r="D144" s="18">
        <v>30</v>
      </c>
      <c r="E144" s="19">
        <v>40</v>
      </c>
    </row>
    <row r="145" spans="1:5" x14ac:dyDescent="0.3">
      <c r="A145" s="15" t="s">
        <v>133</v>
      </c>
      <c r="B145" s="16" t="s">
        <v>156</v>
      </c>
      <c r="C145" s="17" t="s">
        <v>100</v>
      </c>
      <c r="D145" s="18">
        <v>30</v>
      </c>
      <c r="E145" s="19">
        <v>40</v>
      </c>
    </row>
    <row r="146" spans="1:5" x14ac:dyDescent="0.3">
      <c r="A146" s="15" t="s">
        <v>135</v>
      </c>
      <c r="B146" s="16" t="s">
        <v>156</v>
      </c>
      <c r="C146" s="17" t="s">
        <v>100</v>
      </c>
      <c r="D146" s="18">
        <v>30</v>
      </c>
      <c r="E146" s="19">
        <v>40</v>
      </c>
    </row>
    <row r="147" spans="1:5" x14ac:dyDescent="0.3">
      <c r="A147" s="15" t="s">
        <v>136</v>
      </c>
      <c r="B147" s="16" t="s">
        <v>156</v>
      </c>
      <c r="C147" s="17" t="s">
        <v>100</v>
      </c>
      <c r="D147" s="18">
        <v>30</v>
      </c>
      <c r="E147" s="19">
        <v>40</v>
      </c>
    </row>
    <row r="148" spans="1:5" x14ac:dyDescent="0.3">
      <c r="A148" s="15" t="s">
        <v>137</v>
      </c>
      <c r="B148" s="16" t="s">
        <v>156</v>
      </c>
      <c r="C148" s="17" t="s">
        <v>100</v>
      </c>
      <c r="D148" s="18">
        <v>30</v>
      </c>
      <c r="E148" s="19">
        <v>40</v>
      </c>
    </row>
    <row r="149" spans="1:5" x14ac:dyDescent="0.3">
      <c r="A149" s="15" t="s">
        <v>138</v>
      </c>
      <c r="B149" s="16" t="s">
        <v>156</v>
      </c>
      <c r="C149" s="17" t="s">
        <v>100</v>
      </c>
      <c r="D149" s="18">
        <v>30</v>
      </c>
      <c r="E149" s="19">
        <v>40</v>
      </c>
    </row>
    <row r="150" spans="1:5" x14ac:dyDescent="0.3">
      <c r="A150" s="15" t="s">
        <v>139</v>
      </c>
      <c r="B150" s="16" t="s">
        <v>156</v>
      </c>
      <c r="C150" s="17" t="s">
        <v>100</v>
      </c>
      <c r="D150" s="18">
        <v>30</v>
      </c>
      <c r="E150" s="19">
        <v>40</v>
      </c>
    </row>
    <row r="151" spans="1:5" x14ac:dyDescent="0.3">
      <c r="A151" s="15" t="s">
        <v>140</v>
      </c>
      <c r="B151" s="16" t="s">
        <v>156</v>
      </c>
      <c r="C151" s="17" t="s">
        <v>100</v>
      </c>
      <c r="D151" s="18">
        <v>30</v>
      </c>
      <c r="E151" s="19">
        <v>40</v>
      </c>
    </row>
    <row r="152" spans="1:5" x14ac:dyDescent="0.3">
      <c r="A152" s="15" t="s">
        <v>141</v>
      </c>
      <c r="B152" s="16" t="s">
        <v>156</v>
      </c>
      <c r="C152" s="17" t="s">
        <v>100</v>
      </c>
      <c r="D152" s="18">
        <v>30</v>
      </c>
      <c r="E152" s="19">
        <v>40</v>
      </c>
    </row>
    <row r="153" spans="1:5" x14ac:dyDescent="0.3">
      <c r="A153" s="15" t="s">
        <v>98</v>
      </c>
      <c r="B153" s="16" t="s">
        <v>157</v>
      </c>
      <c r="C153" s="17" t="s">
        <v>100</v>
      </c>
      <c r="D153" s="18">
        <v>30</v>
      </c>
      <c r="E153" s="19">
        <v>40</v>
      </c>
    </row>
    <row r="154" spans="1:5" x14ac:dyDescent="0.3">
      <c r="A154" s="15" t="s">
        <v>101</v>
      </c>
      <c r="B154" s="16" t="s">
        <v>157</v>
      </c>
      <c r="C154" s="17" t="s">
        <v>100</v>
      </c>
      <c r="D154" s="18">
        <v>30</v>
      </c>
      <c r="E154" s="19">
        <v>40</v>
      </c>
    </row>
    <row r="155" spans="1:5" x14ac:dyDescent="0.3">
      <c r="A155" s="15" t="s">
        <v>102</v>
      </c>
      <c r="B155" s="16" t="s">
        <v>157</v>
      </c>
      <c r="C155" s="17" t="s">
        <v>100</v>
      </c>
      <c r="D155" s="18">
        <v>30</v>
      </c>
      <c r="E155" s="19">
        <v>40</v>
      </c>
    </row>
    <row r="156" spans="1:5" x14ac:dyDescent="0.3">
      <c r="A156" s="15" t="s">
        <v>103</v>
      </c>
      <c r="B156" s="16" t="s">
        <v>157</v>
      </c>
      <c r="C156" s="17" t="s">
        <v>100</v>
      </c>
      <c r="D156" s="18">
        <v>30</v>
      </c>
      <c r="E156" s="19">
        <v>40</v>
      </c>
    </row>
    <row r="157" spans="1:5" x14ac:dyDescent="0.3">
      <c r="A157" s="15" t="s">
        <v>104</v>
      </c>
      <c r="B157" s="16" t="s">
        <v>157</v>
      </c>
      <c r="C157" s="17" t="s">
        <v>113</v>
      </c>
      <c r="D157" s="18">
        <v>30</v>
      </c>
      <c r="E157" s="19">
        <v>40</v>
      </c>
    </row>
    <row r="158" spans="1:5" x14ac:dyDescent="0.3">
      <c r="A158" s="15" t="s">
        <v>105</v>
      </c>
      <c r="B158" s="16" t="s">
        <v>157</v>
      </c>
      <c r="C158" s="17" t="s">
        <v>100</v>
      </c>
      <c r="D158" s="18">
        <v>30</v>
      </c>
      <c r="E158" s="19">
        <v>40</v>
      </c>
    </row>
    <row r="159" spans="1:5" x14ac:dyDescent="0.3">
      <c r="A159" s="15" t="s">
        <v>106</v>
      </c>
      <c r="B159" s="16" t="s">
        <v>157</v>
      </c>
      <c r="C159" s="17" t="s">
        <v>100</v>
      </c>
      <c r="D159" s="18">
        <v>30</v>
      </c>
      <c r="E159" s="19">
        <v>40</v>
      </c>
    </row>
    <row r="160" spans="1:5" x14ac:dyDescent="0.3">
      <c r="A160" s="15" t="s">
        <v>107</v>
      </c>
      <c r="B160" s="16" t="s">
        <v>158</v>
      </c>
      <c r="C160" s="17" t="s">
        <v>100</v>
      </c>
      <c r="D160" s="18">
        <v>30</v>
      </c>
      <c r="E160" s="19">
        <v>40</v>
      </c>
    </row>
    <row r="161" spans="1:5" x14ac:dyDescent="0.3">
      <c r="A161" s="15" t="s">
        <v>109</v>
      </c>
      <c r="B161" s="16" t="s">
        <v>158</v>
      </c>
      <c r="C161" s="17" t="s">
        <v>100</v>
      </c>
      <c r="D161" s="18">
        <v>30</v>
      </c>
      <c r="E161" s="19">
        <v>40</v>
      </c>
    </row>
    <row r="162" spans="1:5" x14ac:dyDescent="0.3">
      <c r="A162" s="15" t="s">
        <v>110</v>
      </c>
      <c r="B162" s="16" t="s">
        <v>158</v>
      </c>
      <c r="C162" s="17" t="s">
        <v>100</v>
      </c>
      <c r="D162" s="18">
        <v>30</v>
      </c>
      <c r="E162" s="19">
        <v>40</v>
      </c>
    </row>
    <row r="163" spans="1:5" x14ac:dyDescent="0.3">
      <c r="A163" s="15" t="s">
        <v>111</v>
      </c>
      <c r="B163" s="16" t="s">
        <v>158</v>
      </c>
      <c r="C163" s="17" t="s">
        <v>100</v>
      </c>
      <c r="D163" s="18">
        <v>30</v>
      </c>
      <c r="E163" s="19">
        <v>40</v>
      </c>
    </row>
    <row r="164" spans="1:5" x14ac:dyDescent="0.3">
      <c r="A164" s="15" t="s">
        <v>112</v>
      </c>
      <c r="B164" s="16" t="s">
        <v>158</v>
      </c>
      <c r="C164" s="17" t="s">
        <v>100</v>
      </c>
      <c r="D164" s="18">
        <v>30</v>
      </c>
      <c r="E164" s="19">
        <v>40</v>
      </c>
    </row>
    <row r="165" spans="1:5" x14ac:dyDescent="0.3">
      <c r="A165" s="15" t="s">
        <v>114</v>
      </c>
      <c r="B165" s="16" t="s">
        <v>158</v>
      </c>
      <c r="C165" s="17" t="s">
        <v>100</v>
      </c>
      <c r="D165" s="18">
        <v>30</v>
      </c>
      <c r="E165" s="19">
        <v>40</v>
      </c>
    </row>
    <row r="166" spans="1:5" x14ac:dyDescent="0.3">
      <c r="A166" s="15" t="s">
        <v>115</v>
      </c>
      <c r="B166" s="16" t="s">
        <v>159</v>
      </c>
      <c r="C166" s="17" t="s">
        <v>100</v>
      </c>
      <c r="D166" s="18">
        <v>30</v>
      </c>
      <c r="E166" s="19">
        <v>40</v>
      </c>
    </row>
    <row r="167" spans="1:5" x14ac:dyDescent="0.3">
      <c r="A167" s="15" t="s">
        <v>117</v>
      </c>
      <c r="B167" s="16" t="s">
        <v>159</v>
      </c>
      <c r="C167" s="17" t="s">
        <v>100</v>
      </c>
      <c r="D167" s="18">
        <v>30</v>
      </c>
      <c r="E167" s="19">
        <v>40</v>
      </c>
    </row>
    <row r="168" spans="1:5" x14ac:dyDescent="0.3">
      <c r="A168" s="15" t="s">
        <v>118</v>
      </c>
      <c r="B168" s="16" t="s">
        <v>159</v>
      </c>
      <c r="C168" s="17" t="s">
        <v>100</v>
      </c>
      <c r="D168" s="18">
        <v>30</v>
      </c>
      <c r="E168" s="19">
        <v>40</v>
      </c>
    </row>
    <row r="169" spans="1:5" x14ac:dyDescent="0.3">
      <c r="A169" s="15" t="s">
        <v>119</v>
      </c>
      <c r="B169" s="16" t="s">
        <v>159</v>
      </c>
      <c r="C169" s="17" t="s">
        <v>100</v>
      </c>
      <c r="D169" s="18">
        <v>30</v>
      </c>
      <c r="E169" s="19">
        <v>40</v>
      </c>
    </row>
    <row r="170" spans="1:5" x14ac:dyDescent="0.3">
      <c r="A170" s="15" t="s">
        <v>120</v>
      </c>
      <c r="B170" s="16" t="s">
        <v>159</v>
      </c>
      <c r="C170" s="17" t="s">
        <v>100</v>
      </c>
      <c r="D170" s="18">
        <v>30</v>
      </c>
      <c r="E170" s="19">
        <v>40</v>
      </c>
    </row>
    <row r="171" spans="1:5" x14ac:dyDescent="0.3">
      <c r="A171" s="15" t="s">
        <v>121</v>
      </c>
      <c r="B171" s="16" t="s">
        <v>159</v>
      </c>
      <c r="C171" s="17" t="s">
        <v>100</v>
      </c>
      <c r="D171" s="18">
        <v>30</v>
      </c>
      <c r="E171" s="19">
        <v>40</v>
      </c>
    </row>
    <row r="172" spans="1:5" x14ac:dyDescent="0.3">
      <c r="A172" s="15" t="s">
        <v>122</v>
      </c>
      <c r="B172" s="16" t="s">
        <v>159</v>
      </c>
      <c r="C172" s="17" t="s">
        <v>100</v>
      </c>
      <c r="D172" s="18">
        <v>30</v>
      </c>
      <c r="E172" s="19">
        <v>40</v>
      </c>
    </row>
    <row r="173" spans="1:5" x14ac:dyDescent="0.3">
      <c r="A173" s="15" t="s">
        <v>123</v>
      </c>
      <c r="B173" s="16" t="s">
        <v>159</v>
      </c>
      <c r="C173" s="17" t="s">
        <v>100</v>
      </c>
      <c r="D173" s="18">
        <v>30</v>
      </c>
      <c r="E173" s="19">
        <v>40</v>
      </c>
    </row>
    <row r="174" spans="1:5" x14ac:dyDescent="0.3">
      <c r="A174" s="15" t="s">
        <v>124</v>
      </c>
      <c r="B174" s="16" t="s">
        <v>160</v>
      </c>
      <c r="C174" s="17" t="s">
        <v>100</v>
      </c>
      <c r="D174" s="18">
        <v>30</v>
      </c>
      <c r="E174" s="19">
        <v>40</v>
      </c>
    </row>
    <row r="175" spans="1:5" x14ac:dyDescent="0.3">
      <c r="A175" s="15" t="s">
        <v>126</v>
      </c>
      <c r="B175" s="16" t="s">
        <v>160</v>
      </c>
      <c r="C175" s="17" t="s">
        <v>100</v>
      </c>
      <c r="D175" s="18">
        <v>30</v>
      </c>
      <c r="E175" s="19">
        <v>40</v>
      </c>
    </row>
    <row r="176" spans="1:5" x14ac:dyDescent="0.3">
      <c r="A176" s="15" t="s">
        <v>127</v>
      </c>
      <c r="B176" s="16" t="s">
        <v>160</v>
      </c>
      <c r="C176" s="17" t="s">
        <v>100</v>
      </c>
      <c r="D176" s="18">
        <v>30</v>
      </c>
      <c r="E176" s="19">
        <v>40</v>
      </c>
    </row>
    <row r="177" spans="1:5" x14ac:dyDescent="0.3">
      <c r="A177" s="15" t="s">
        <v>128</v>
      </c>
      <c r="B177" s="16" t="s">
        <v>160</v>
      </c>
      <c r="C177" s="17" t="s">
        <v>100</v>
      </c>
      <c r="D177" s="18">
        <v>30</v>
      </c>
      <c r="E177" s="19">
        <v>40</v>
      </c>
    </row>
    <row r="178" spans="1:5" x14ac:dyDescent="0.3">
      <c r="A178" s="15" t="s">
        <v>129</v>
      </c>
      <c r="B178" s="16" t="s">
        <v>160</v>
      </c>
      <c r="C178" s="17" t="s">
        <v>100</v>
      </c>
      <c r="D178" s="18">
        <v>30</v>
      </c>
      <c r="E178" s="19">
        <v>40</v>
      </c>
    </row>
    <row r="179" spans="1:5" x14ac:dyDescent="0.3">
      <c r="A179" s="15" t="s">
        <v>130</v>
      </c>
      <c r="B179" s="16" t="s">
        <v>160</v>
      </c>
      <c r="C179" s="17" t="s">
        <v>100</v>
      </c>
      <c r="D179" s="18">
        <v>30</v>
      </c>
      <c r="E179" s="19">
        <v>40</v>
      </c>
    </row>
    <row r="180" spans="1:5" x14ac:dyDescent="0.3">
      <c r="A180" s="15" t="s">
        <v>131</v>
      </c>
      <c r="B180" s="16" t="s">
        <v>160</v>
      </c>
      <c r="C180" s="17" t="s">
        <v>100</v>
      </c>
      <c r="D180" s="18">
        <v>30</v>
      </c>
      <c r="E180" s="19">
        <v>40</v>
      </c>
    </row>
    <row r="181" spans="1:5" x14ac:dyDescent="0.3">
      <c r="A181" s="15" t="s">
        <v>132</v>
      </c>
      <c r="B181" s="16" t="s">
        <v>160</v>
      </c>
      <c r="C181" s="17" t="s">
        <v>100</v>
      </c>
      <c r="D181" s="18">
        <v>30</v>
      </c>
      <c r="E181" s="19">
        <v>40</v>
      </c>
    </row>
    <row r="182" spans="1:5" x14ac:dyDescent="0.3">
      <c r="A182" s="15" t="s">
        <v>133</v>
      </c>
      <c r="B182" s="16" t="s">
        <v>161</v>
      </c>
      <c r="C182" s="17" t="s">
        <v>100</v>
      </c>
      <c r="D182" s="18">
        <v>30</v>
      </c>
      <c r="E182" s="19">
        <v>40</v>
      </c>
    </row>
    <row r="183" spans="1:5" x14ac:dyDescent="0.3">
      <c r="A183" s="15" t="s">
        <v>135</v>
      </c>
      <c r="B183" s="16" t="s">
        <v>161</v>
      </c>
      <c r="C183" s="17" t="s">
        <v>100</v>
      </c>
      <c r="D183" s="18">
        <v>30</v>
      </c>
      <c r="E183" s="19">
        <v>40</v>
      </c>
    </row>
    <row r="184" spans="1:5" x14ac:dyDescent="0.3">
      <c r="A184" s="15" t="s">
        <v>136</v>
      </c>
      <c r="B184" s="16" t="s">
        <v>161</v>
      </c>
      <c r="C184" s="17" t="s">
        <v>100</v>
      </c>
      <c r="D184" s="18">
        <v>30</v>
      </c>
      <c r="E184" s="19">
        <v>40</v>
      </c>
    </row>
    <row r="185" spans="1:5" x14ac:dyDescent="0.3">
      <c r="A185" s="15" t="s">
        <v>137</v>
      </c>
      <c r="B185" s="16" t="s">
        <v>161</v>
      </c>
      <c r="C185" s="17" t="s">
        <v>113</v>
      </c>
      <c r="D185" s="18">
        <v>30</v>
      </c>
      <c r="E185" s="19">
        <v>40</v>
      </c>
    </row>
    <row r="186" spans="1:5" x14ac:dyDescent="0.3">
      <c r="A186" s="15" t="s">
        <v>138</v>
      </c>
      <c r="B186" s="16" t="s">
        <v>161</v>
      </c>
      <c r="C186" s="17" t="s">
        <v>113</v>
      </c>
      <c r="D186" s="18">
        <v>30</v>
      </c>
      <c r="E186" s="19">
        <v>40</v>
      </c>
    </row>
    <row r="187" spans="1:5" x14ac:dyDescent="0.3">
      <c r="A187" s="15" t="s">
        <v>139</v>
      </c>
      <c r="B187" s="16" t="s">
        <v>161</v>
      </c>
      <c r="C187" s="17" t="s">
        <v>113</v>
      </c>
      <c r="D187" s="18">
        <v>30</v>
      </c>
      <c r="E187" s="19">
        <v>40</v>
      </c>
    </row>
    <row r="188" spans="1:5" x14ac:dyDescent="0.3">
      <c r="A188" s="15" t="s">
        <v>140</v>
      </c>
      <c r="B188" s="16" t="s">
        <v>161</v>
      </c>
      <c r="C188" s="17" t="s">
        <v>113</v>
      </c>
      <c r="D188" s="18">
        <v>30</v>
      </c>
      <c r="E188" s="19">
        <v>40</v>
      </c>
    </row>
    <row r="189" spans="1:5" x14ac:dyDescent="0.3">
      <c r="A189" s="15" t="s">
        <v>141</v>
      </c>
      <c r="B189" s="16" t="s">
        <v>161</v>
      </c>
      <c r="C189" s="17" t="s">
        <v>113</v>
      </c>
      <c r="D189" s="18">
        <v>30</v>
      </c>
      <c r="E189" s="19">
        <v>40</v>
      </c>
    </row>
    <row r="190" spans="1:5" x14ac:dyDescent="0.3">
      <c r="A190" s="15" t="s">
        <v>98</v>
      </c>
      <c r="B190" s="16" t="s">
        <v>162</v>
      </c>
      <c r="C190" s="17" t="s">
        <v>100</v>
      </c>
      <c r="D190" s="18">
        <v>30</v>
      </c>
      <c r="E190" s="19">
        <v>40</v>
      </c>
    </row>
    <row r="191" spans="1:5" x14ac:dyDescent="0.3">
      <c r="A191" s="15" t="s">
        <v>101</v>
      </c>
      <c r="B191" s="16" t="s">
        <v>162</v>
      </c>
      <c r="C191" s="17" t="s">
        <v>100</v>
      </c>
      <c r="D191" s="18">
        <v>30</v>
      </c>
      <c r="E191" s="19">
        <v>40</v>
      </c>
    </row>
    <row r="192" spans="1:5" x14ac:dyDescent="0.3">
      <c r="A192" s="15" t="s">
        <v>102</v>
      </c>
      <c r="B192" s="16" t="s">
        <v>162</v>
      </c>
      <c r="C192" s="17" t="s">
        <v>100</v>
      </c>
      <c r="D192" s="18">
        <v>30</v>
      </c>
      <c r="E192" s="19">
        <v>40</v>
      </c>
    </row>
    <row r="193" spans="1:5" x14ac:dyDescent="0.3">
      <c r="A193" s="15" t="s">
        <v>103</v>
      </c>
      <c r="B193" s="16" t="s">
        <v>162</v>
      </c>
      <c r="C193" s="17" t="s">
        <v>100</v>
      </c>
      <c r="D193" s="18">
        <v>30</v>
      </c>
      <c r="E193" s="19">
        <v>40</v>
      </c>
    </row>
    <row r="194" spans="1:5" x14ac:dyDescent="0.3">
      <c r="A194" s="15" t="s">
        <v>104</v>
      </c>
      <c r="B194" s="16" t="s">
        <v>162</v>
      </c>
      <c r="C194" s="17" t="s">
        <v>100</v>
      </c>
      <c r="D194" s="18">
        <v>30</v>
      </c>
      <c r="E194" s="19">
        <v>40</v>
      </c>
    </row>
    <row r="195" spans="1:5" x14ac:dyDescent="0.3">
      <c r="A195" s="15" t="s">
        <v>105</v>
      </c>
      <c r="B195" s="16" t="s">
        <v>162</v>
      </c>
      <c r="C195" s="17" t="s">
        <v>100</v>
      </c>
      <c r="D195" s="18">
        <v>30</v>
      </c>
      <c r="E195" s="19">
        <v>40</v>
      </c>
    </row>
    <row r="196" spans="1:5" x14ac:dyDescent="0.3">
      <c r="A196" s="15" t="s">
        <v>106</v>
      </c>
      <c r="B196" s="16" t="s">
        <v>162</v>
      </c>
      <c r="C196" s="17" t="s">
        <v>100</v>
      </c>
      <c r="D196" s="18">
        <v>30</v>
      </c>
      <c r="E196" s="19">
        <v>40</v>
      </c>
    </row>
    <row r="197" spans="1:5" x14ac:dyDescent="0.3">
      <c r="A197" s="15" t="s">
        <v>107</v>
      </c>
      <c r="B197" s="16" t="s">
        <v>163</v>
      </c>
      <c r="C197" s="17" t="s">
        <v>100</v>
      </c>
      <c r="D197" s="18">
        <v>30</v>
      </c>
      <c r="E197" s="19">
        <v>40</v>
      </c>
    </row>
    <row r="198" spans="1:5" x14ac:dyDescent="0.3">
      <c r="A198" s="15" t="s">
        <v>109</v>
      </c>
      <c r="B198" s="16" t="s">
        <v>163</v>
      </c>
      <c r="C198" s="17" t="s">
        <v>100</v>
      </c>
      <c r="D198" s="18">
        <v>30</v>
      </c>
      <c r="E198" s="19">
        <v>40</v>
      </c>
    </row>
    <row r="199" spans="1:5" x14ac:dyDescent="0.3">
      <c r="A199" s="15" t="s">
        <v>110</v>
      </c>
      <c r="B199" s="16" t="s">
        <v>163</v>
      </c>
      <c r="C199" s="17" t="s">
        <v>100</v>
      </c>
      <c r="D199" s="18">
        <v>30</v>
      </c>
      <c r="E199" s="19">
        <v>40</v>
      </c>
    </row>
    <row r="200" spans="1:5" x14ac:dyDescent="0.3">
      <c r="A200" s="15" t="s">
        <v>111</v>
      </c>
      <c r="B200" s="16" t="s">
        <v>163</v>
      </c>
      <c r="C200" s="17" t="s">
        <v>100</v>
      </c>
      <c r="D200" s="18">
        <v>30</v>
      </c>
      <c r="E200" s="19">
        <v>40</v>
      </c>
    </row>
    <row r="201" spans="1:5" x14ac:dyDescent="0.3">
      <c r="A201" s="15" t="s">
        <v>112</v>
      </c>
      <c r="B201" s="16" t="s">
        <v>163</v>
      </c>
      <c r="C201" s="17" t="s">
        <v>100</v>
      </c>
      <c r="D201" s="18">
        <v>30</v>
      </c>
      <c r="E201" s="19">
        <v>40</v>
      </c>
    </row>
    <row r="202" spans="1:5" x14ac:dyDescent="0.3">
      <c r="A202" s="15" t="s">
        <v>114</v>
      </c>
      <c r="B202" s="16" t="s">
        <v>163</v>
      </c>
      <c r="C202" s="17" t="s">
        <v>100</v>
      </c>
      <c r="D202" s="18">
        <v>30</v>
      </c>
      <c r="E202" s="19">
        <v>40</v>
      </c>
    </row>
    <row r="203" spans="1:5" x14ac:dyDescent="0.3">
      <c r="A203" s="15" t="s">
        <v>115</v>
      </c>
      <c r="B203" s="16" t="s">
        <v>164</v>
      </c>
      <c r="C203" s="17" t="s">
        <v>100</v>
      </c>
      <c r="D203" s="18">
        <v>30</v>
      </c>
      <c r="E203" s="19">
        <v>40</v>
      </c>
    </row>
    <row r="204" spans="1:5" x14ac:dyDescent="0.3">
      <c r="A204" s="15" t="s">
        <v>117</v>
      </c>
      <c r="B204" s="16" t="s">
        <v>164</v>
      </c>
      <c r="C204" s="17" t="s">
        <v>100</v>
      </c>
      <c r="D204" s="18">
        <v>30</v>
      </c>
      <c r="E204" s="19">
        <v>40</v>
      </c>
    </row>
    <row r="205" spans="1:5" x14ac:dyDescent="0.3">
      <c r="A205" s="15" t="s">
        <v>118</v>
      </c>
      <c r="B205" s="16" t="s">
        <v>164</v>
      </c>
      <c r="C205" s="17" t="s">
        <v>100</v>
      </c>
      <c r="D205" s="18">
        <v>30</v>
      </c>
      <c r="E205" s="19">
        <v>40</v>
      </c>
    </row>
    <row r="206" spans="1:5" x14ac:dyDescent="0.3">
      <c r="A206" s="15" t="s">
        <v>119</v>
      </c>
      <c r="B206" s="16" t="s">
        <v>164</v>
      </c>
      <c r="C206" s="17" t="s">
        <v>100</v>
      </c>
      <c r="D206" s="18">
        <v>30</v>
      </c>
      <c r="E206" s="19">
        <v>40</v>
      </c>
    </row>
    <row r="207" spans="1:5" x14ac:dyDescent="0.3">
      <c r="A207" s="15" t="s">
        <v>120</v>
      </c>
      <c r="B207" s="16" t="s">
        <v>164</v>
      </c>
      <c r="C207" s="17" t="s">
        <v>113</v>
      </c>
      <c r="D207" s="18">
        <v>30</v>
      </c>
      <c r="E207" s="19">
        <v>40</v>
      </c>
    </row>
    <row r="208" spans="1:5" x14ac:dyDescent="0.3">
      <c r="A208" s="15" t="s">
        <v>121</v>
      </c>
      <c r="B208" s="16" t="s">
        <v>164</v>
      </c>
      <c r="C208" s="17" t="s">
        <v>100</v>
      </c>
      <c r="D208" s="18">
        <v>30</v>
      </c>
      <c r="E208" s="19">
        <v>40</v>
      </c>
    </row>
    <row r="209" spans="1:5" x14ac:dyDescent="0.3">
      <c r="A209" s="15" t="s">
        <v>122</v>
      </c>
      <c r="B209" s="16" t="s">
        <v>164</v>
      </c>
      <c r="C209" s="17" t="s">
        <v>100</v>
      </c>
      <c r="D209" s="18">
        <v>30</v>
      </c>
      <c r="E209" s="19">
        <v>40</v>
      </c>
    </row>
    <row r="210" spans="1:5" x14ac:dyDescent="0.3">
      <c r="A210" s="15" t="s">
        <v>123</v>
      </c>
      <c r="B210" s="16" t="s">
        <v>164</v>
      </c>
      <c r="C210" s="17" t="s">
        <v>100</v>
      </c>
      <c r="D210" s="18">
        <v>30</v>
      </c>
      <c r="E210" s="19">
        <v>40</v>
      </c>
    </row>
    <row r="211" spans="1:5" x14ac:dyDescent="0.3">
      <c r="A211" s="15" t="s">
        <v>124</v>
      </c>
      <c r="B211" s="16" t="s">
        <v>165</v>
      </c>
      <c r="C211" s="17" t="s">
        <v>100</v>
      </c>
      <c r="D211" s="18">
        <v>30</v>
      </c>
      <c r="E211" s="19">
        <v>40</v>
      </c>
    </row>
    <row r="212" spans="1:5" x14ac:dyDescent="0.3">
      <c r="A212" s="15" t="s">
        <v>126</v>
      </c>
      <c r="B212" s="16" t="s">
        <v>165</v>
      </c>
      <c r="C212" s="17" t="s">
        <v>100</v>
      </c>
      <c r="D212" s="18">
        <v>30</v>
      </c>
      <c r="E212" s="19">
        <v>40</v>
      </c>
    </row>
    <row r="213" spans="1:5" x14ac:dyDescent="0.3">
      <c r="A213" s="15" t="s">
        <v>127</v>
      </c>
      <c r="B213" s="16" t="s">
        <v>165</v>
      </c>
      <c r="C213" s="17" t="s">
        <v>100</v>
      </c>
      <c r="D213" s="18">
        <v>30</v>
      </c>
      <c r="E213" s="19">
        <v>40</v>
      </c>
    </row>
    <row r="214" spans="1:5" x14ac:dyDescent="0.3">
      <c r="A214" s="15" t="s">
        <v>128</v>
      </c>
      <c r="B214" s="16" t="s">
        <v>165</v>
      </c>
      <c r="C214" s="17" t="s">
        <v>100</v>
      </c>
      <c r="D214" s="18">
        <v>30</v>
      </c>
      <c r="E214" s="19">
        <v>40</v>
      </c>
    </row>
    <row r="215" spans="1:5" x14ac:dyDescent="0.3">
      <c r="A215" s="15" t="s">
        <v>129</v>
      </c>
      <c r="B215" s="16" t="s">
        <v>165</v>
      </c>
      <c r="C215" s="17" t="s">
        <v>100</v>
      </c>
      <c r="D215" s="18">
        <v>30</v>
      </c>
      <c r="E215" s="19">
        <v>40</v>
      </c>
    </row>
    <row r="216" spans="1:5" x14ac:dyDescent="0.3">
      <c r="A216" s="15" t="s">
        <v>130</v>
      </c>
      <c r="B216" s="16" t="s">
        <v>165</v>
      </c>
      <c r="C216" s="17" t="s">
        <v>100</v>
      </c>
      <c r="D216" s="18">
        <v>30</v>
      </c>
      <c r="E216" s="19">
        <v>40</v>
      </c>
    </row>
    <row r="217" spans="1:5" x14ac:dyDescent="0.3">
      <c r="A217" s="15" t="s">
        <v>131</v>
      </c>
      <c r="B217" s="16" t="s">
        <v>165</v>
      </c>
      <c r="C217" s="17" t="s">
        <v>100</v>
      </c>
      <c r="D217" s="18">
        <v>30</v>
      </c>
      <c r="E217" s="19">
        <v>40</v>
      </c>
    </row>
    <row r="218" spans="1:5" x14ac:dyDescent="0.3">
      <c r="A218" s="15" t="s">
        <v>132</v>
      </c>
      <c r="B218" s="16" t="s">
        <v>165</v>
      </c>
      <c r="C218" s="17" t="s">
        <v>100</v>
      </c>
      <c r="D218" s="18">
        <v>30</v>
      </c>
      <c r="E218" s="19">
        <v>40</v>
      </c>
    </row>
    <row r="219" spans="1:5" x14ac:dyDescent="0.3">
      <c r="A219" s="15" t="s">
        <v>133</v>
      </c>
      <c r="B219" s="16" t="s">
        <v>166</v>
      </c>
      <c r="C219" s="17" t="s">
        <v>100</v>
      </c>
      <c r="D219" s="18">
        <v>30</v>
      </c>
      <c r="E219" s="19">
        <v>40</v>
      </c>
    </row>
    <row r="220" spans="1:5" x14ac:dyDescent="0.3">
      <c r="A220" s="15" t="s">
        <v>135</v>
      </c>
      <c r="B220" s="16" t="s">
        <v>166</v>
      </c>
      <c r="C220" s="17" t="s">
        <v>100</v>
      </c>
      <c r="D220" s="18">
        <v>30</v>
      </c>
      <c r="E220" s="19">
        <v>40</v>
      </c>
    </row>
    <row r="221" spans="1:5" x14ac:dyDescent="0.3">
      <c r="A221" s="15" t="s">
        <v>136</v>
      </c>
      <c r="B221" s="16" t="s">
        <v>166</v>
      </c>
      <c r="C221" s="17" t="s">
        <v>100</v>
      </c>
      <c r="D221" s="18">
        <v>30</v>
      </c>
      <c r="E221" s="19">
        <v>40</v>
      </c>
    </row>
    <row r="222" spans="1:5" x14ac:dyDescent="0.3">
      <c r="A222" s="15" t="s">
        <v>137</v>
      </c>
      <c r="B222" s="16" t="s">
        <v>166</v>
      </c>
      <c r="C222" s="17" t="s">
        <v>100</v>
      </c>
      <c r="D222" s="18">
        <v>30</v>
      </c>
      <c r="E222" s="19">
        <v>40</v>
      </c>
    </row>
    <row r="223" spans="1:5" x14ac:dyDescent="0.3">
      <c r="A223" s="15" t="s">
        <v>138</v>
      </c>
      <c r="B223" s="16" t="s">
        <v>166</v>
      </c>
      <c r="C223" s="17" t="s">
        <v>100</v>
      </c>
      <c r="D223" s="18">
        <v>30</v>
      </c>
      <c r="E223" s="19">
        <v>40</v>
      </c>
    </row>
    <row r="224" spans="1:5" x14ac:dyDescent="0.3">
      <c r="A224" s="15" t="s">
        <v>139</v>
      </c>
      <c r="B224" s="16" t="s">
        <v>166</v>
      </c>
      <c r="C224" s="17" t="s">
        <v>100</v>
      </c>
      <c r="D224" s="18">
        <v>30</v>
      </c>
      <c r="E224" s="19">
        <v>40</v>
      </c>
    </row>
    <row r="225" spans="1:5" x14ac:dyDescent="0.3">
      <c r="A225" s="15" t="s">
        <v>140</v>
      </c>
      <c r="B225" s="16" t="s">
        <v>166</v>
      </c>
      <c r="C225" s="17" t="s">
        <v>100</v>
      </c>
      <c r="D225" s="18">
        <v>30</v>
      </c>
      <c r="E225" s="19">
        <v>40</v>
      </c>
    </row>
    <row r="226" spans="1:5" x14ac:dyDescent="0.3">
      <c r="A226" s="15" t="s">
        <v>141</v>
      </c>
      <c r="B226" s="16" t="s">
        <v>166</v>
      </c>
      <c r="C226" s="17" t="s">
        <v>100</v>
      </c>
      <c r="D226" s="18">
        <v>30</v>
      </c>
      <c r="E226" s="19">
        <v>40</v>
      </c>
    </row>
    <row r="227" spans="1:5" x14ac:dyDescent="0.3">
      <c r="A227" s="15" t="s">
        <v>98</v>
      </c>
      <c r="B227" s="16" t="s">
        <v>167</v>
      </c>
      <c r="C227" s="17" t="s">
        <v>100</v>
      </c>
      <c r="D227" s="18">
        <v>30</v>
      </c>
      <c r="E227" s="19">
        <v>40</v>
      </c>
    </row>
    <row r="228" spans="1:5" x14ac:dyDescent="0.3">
      <c r="A228" s="15" t="s">
        <v>101</v>
      </c>
      <c r="B228" s="16" t="s">
        <v>167</v>
      </c>
      <c r="C228" s="17" t="s">
        <v>100</v>
      </c>
      <c r="D228" s="18">
        <v>30</v>
      </c>
      <c r="E228" s="19">
        <v>40</v>
      </c>
    </row>
    <row r="229" spans="1:5" x14ac:dyDescent="0.3">
      <c r="A229" s="15" t="s">
        <v>102</v>
      </c>
      <c r="B229" s="16" t="s">
        <v>167</v>
      </c>
      <c r="C229" s="17" t="s">
        <v>100</v>
      </c>
      <c r="D229" s="18">
        <v>30</v>
      </c>
      <c r="E229" s="19">
        <v>40</v>
      </c>
    </row>
    <row r="230" spans="1:5" x14ac:dyDescent="0.3">
      <c r="A230" s="15" t="s">
        <v>103</v>
      </c>
      <c r="B230" s="16" t="s">
        <v>167</v>
      </c>
      <c r="C230" s="17" t="s">
        <v>113</v>
      </c>
      <c r="D230" s="18">
        <v>30</v>
      </c>
      <c r="E230" s="19">
        <v>40</v>
      </c>
    </row>
    <row r="231" spans="1:5" x14ac:dyDescent="0.3">
      <c r="A231" s="15" t="s">
        <v>104</v>
      </c>
      <c r="B231" s="16" t="s">
        <v>167</v>
      </c>
      <c r="C231" s="17" t="s">
        <v>113</v>
      </c>
      <c r="D231" s="18">
        <v>30</v>
      </c>
      <c r="E231" s="19">
        <v>40</v>
      </c>
    </row>
    <row r="232" spans="1:5" x14ac:dyDescent="0.3">
      <c r="A232" s="15" t="s">
        <v>105</v>
      </c>
      <c r="B232" s="16" t="s">
        <v>167</v>
      </c>
      <c r="C232" s="17" t="s">
        <v>113</v>
      </c>
      <c r="D232" s="18">
        <v>30</v>
      </c>
      <c r="E232" s="19">
        <v>40</v>
      </c>
    </row>
    <row r="233" spans="1:5" x14ac:dyDescent="0.3">
      <c r="A233" s="15" t="s">
        <v>106</v>
      </c>
      <c r="B233" s="16" t="s">
        <v>167</v>
      </c>
      <c r="C233" s="17" t="s">
        <v>113</v>
      </c>
      <c r="D233" s="18">
        <v>30</v>
      </c>
      <c r="E233" s="19">
        <v>40</v>
      </c>
    </row>
    <row r="234" spans="1:5" x14ac:dyDescent="0.3">
      <c r="A234" s="15" t="s">
        <v>107</v>
      </c>
      <c r="B234" s="16" t="s">
        <v>168</v>
      </c>
      <c r="C234" s="17" t="s">
        <v>100</v>
      </c>
      <c r="D234" s="18">
        <v>30</v>
      </c>
      <c r="E234" s="19">
        <v>40</v>
      </c>
    </row>
    <row r="235" spans="1:5" x14ac:dyDescent="0.3">
      <c r="A235" s="15" t="s">
        <v>109</v>
      </c>
      <c r="B235" s="16" t="s">
        <v>168</v>
      </c>
      <c r="C235" s="17" t="s">
        <v>100</v>
      </c>
      <c r="D235" s="18">
        <v>30</v>
      </c>
      <c r="E235" s="19">
        <v>40</v>
      </c>
    </row>
    <row r="236" spans="1:5" x14ac:dyDescent="0.3">
      <c r="A236" s="15" t="s">
        <v>110</v>
      </c>
      <c r="B236" s="16" t="s">
        <v>168</v>
      </c>
      <c r="C236" s="17" t="s">
        <v>100</v>
      </c>
      <c r="D236" s="18">
        <v>30</v>
      </c>
      <c r="E236" s="19">
        <v>40</v>
      </c>
    </row>
    <row r="237" spans="1:5" x14ac:dyDescent="0.3">
      <c r="A237" s="15" t="s">
        <v>111</v>
      </c>
      <c r="B237" s="16" t="s">
        <v>168</v>
      </c>
      <c r="C237" s="17" t="s">
        <v>100</v>
      </c>
      <c r="D237" s="18">
        <v>30</v>
      </c>
      <c r="E237" s="19">
        <v>40</v>
      </c>
    </row>
    <row r="238" spans="1:5" x14ac:dyDescent="0.3">
      <c r="A238" s="15" t="s">
        <v>112</v>
      </c>
      <c r="B238" s="16" t="s">
        <v>168</v>
      </c>
      <c r="C238" s="17" t="s">
        <v>100</v>
      </c>
      <c r="D238" s="18">
        <v>30</v>
      </c>
      <c r="E238" s="19">
        <v>40</v>
      </c>
    </row>
    <row r="239" spans="1:5" x14ac:dyDescent="0.3">
      <c r="A239" s="15" t="s">
        <v>114</v>
      </c>
      <c r="B239" s="16" t="s">
        <v>168</v>
      </c>
      <c r="C239" s="17" t="s">
        <v>100</v>
      </c>
      <c r="D239" s="18">
        <v>30</v>
      </c>
      <c r="E239" s="19">
        <v>40</v>
      </c>
    </row>
    <row r="240" spans="1:5" x14ac:dyDescent="0.3">
      <c r="A240" s="15" t="s">
        <v>115</v>
      </c>
      <c r="B240" s="16" t="s">
        <v>169</v>
      </c>
      <c r="C240" s="17" t="s">
        <v>100</v>
      </c>
      <c r="D240" s="18">
        <v>30</v>
      </c>
      <c r="E240" s="19">
        <v>40</v>
      </c>
    </row>
    <row r="241" spans="1:5" x14ac:dyDescent="0.3">
      <c r="A241" s="15" t="s">
        <v>117</v>
      </c>
      <c r="B241" s="16" t="s">
        <v>169</v>
      </c>
      <c r="C241" s="17" t="s">
        <v>100</v>
      </c>
      <c r="D241" s="18">
        <v>30</v>
      </c>
      <c r="E241" s="19">
        <v>40</v>
      </c>
    </row>
    <row r="242" spans="1:5" x14ac:dyDescent="0.3">
      <c r="A242" s="15" t="s">
        <v>118</v>
      </c>
      <c r="B242" s="16" t="s">
        <v>169</v>
      </c>
      <c r="C242" s="17" t="s">
        <v>100</v>
      </c>
      <c r="D242" s="18">
        <v>30</v>
      </c>
      <c r="E242" s="19">
        <v>40</v>
      </c>
    </row>
    <row r="243" spans="1:5" x14ac:dyDescent="0.3">
      <c r="A243" s="15" t="s">
        <v>119</v>
      </c>
      <c r="B243" s="16" t="s">
        <v>169</v>
      </c>
      <c r="C243" s="17" t="s">
        <v>100</v>
      </c>
      <c r="D243" s="18">
        <v>30</v>
      </c>
      <c r="E243" s="19">
        <v>40</v>
      </c>
    </row>
    <row r="244" spans="1:5" x14ac:dyDescent="0.3">
      <c r="A244" s="15" t="s">
        <v>120</v>
      </c>
      <c r="B244" s="16" t="s">
        <v>169</v>
      </c>
      <c r="C244" s="17" t="s">
        <v>100</v>
      </c>
      <c r="D244" s="18">
        <v>30</v>
      </c>
      <c r="E244" s="19">
        <v>40</v>
      </c>
    </row>
    <row r="245" spans="1:5" x14ac:dyDescent="0.3">
      <c r="A245" s="15" t="s">
        <v>121</v>
      </c>
      <c r="B245" s="16" t="s">
        <v>169</v>
      </c>
      <c r="C245" s="17" t="s">
        <v>100</v>
      </c>
      <c r="D245" s="18">
        <v>30</v>
      </c>
      <c r="E245" s="19">
        <v>40</v>
      </c>
    </row>
    <row r="246" spans="1:5" x14ac:dyDescent="0.3">
      <c r="A246" s="15" t="s">
        <v>122</v>
      </c>
      <c r="B246" s="16" t="s">
        <v>169</v>
      </c>
      <c r="C246" s="17" t="s">
        <v>113</v>
      </c>
      <c r="D246" s="18">
        <v>30</v>
      </c>
      <c r="E246" s="19">
        <v>40</v>
      </c>
    </row>
    <row r="247" spans="1:5" x14ac:dyDescent="0.3">
      <c r="A247" s="15" t="s">
        <v>123</v>
      </c>
      <c r="B247" s="16" t="s">
        <v>169</v>
      </c>
      <c r="C247" s="17" t="s">
        <v>100</v>
      </c>
      <c r="D247" s="18">
        <v>30</v>
      </c>
      <c r="E247" s="19">
        <v>40</v>
      </c>
    </row>
    <row r="248" spans="1:5" x14ac:dyDescent="0.3">
      <c r="A248" s="15" t="s">
        <v>124</v>
      </c>
      <c r="B248" s="16" t="s">
        <v>170</v>
      </c>
      <c r="C248" s="17" t="s">
        <v>100</v>
      </c>
      <c r="D248" s="18">
        <v>30</v>
      </c>
      <c r="E248" s="19">
        <v>40</v>
      </c>
    </row>
    <row r="249" spans="1:5" x14ac:dyDescent="0.3">
      <c r="A249" s="15" t="s">
        <v>126</v>
      </c>
      <c r="B249" s="16" t="s">
        <v>170</v>
      </c>
      <c r="C249" s="17" t="s">
        <v>100</v>
      </c>
      <c r="D249" s="18">
        <v>30</v>
      </c>
      <c r="E249" s="19">
        <v>40</v>
      </c>
    </row>
    <row r="250" spans="1:5" x14ac:dyDescent="0.3">
      <c r="A250" s="15" t="s">
        <v>127</v>
      </c>
      <c r="B250" s="16" t="s">
        <v>170</v>
      </c>
      <c r="C250" s="17" t="s">
        <v>100</v>
      </c>
      <c r="D250" s="18">
        <v>30</v>
      </c>
      <c r="E250" s="19">
        <v>40</v>
      </c>
    </row>
    <row r="251" spans="1:5" x14ac:dyDescent="0.3">
      <c r="A251" s="15" t="s">
        <v>128</v>
      </c>
      <c r="B251" s="16" t="s">
        <v>170</v>
      </c>
      <c r="C251" s="17" t="s">
        <v>100</v>
      </c>
      <c r="D251" s="18">
        <v>30</v>
      </c>
      <c r="E251" s="19">
        <v>40</v>
      </c>
    </row>
    <row r="252" spans="1:5" x14ac:dyDescent="0.3">
      <c r="A252" s="15" t="s">
        <v>129</v>
      </c>
      <c r="B252" s="16" t="s">
        <v>170</v>
      </c>
      <c r="C252" s="17" t="s">
        <v>113</v>
      </c>
      <c r="D252" s="18">
        <v>30</v>
      </c>
      <c r="E252" s="19">
        <v>40</v>
      </c>
    </row>
    <row r="253" spans="1:5" x14ac:dyDescent="0.3">
      <c r="A253" s="15" t="s">
        <v>130</v>
      </c>
      <c r="B253" s="16" t="s">
        <v>170</v>
      </c>
      <c r="C253" s="17" t="s">
        <v>100</v>
      </c>
      <c r="D253" s="18">
        <v>30</v>
      </c>
      <c r="E253" s="19">
        <v>40</v>
      </c>
    </row>
    <row r="254" spans="1:5" x14ac:dyDescent="0.3">
      <c r="A254" s="15" t="s">
        <v>131</v>
      </c>
      <c r="B254" s="16" t="s">
        <v>170</v>
      </c>
      <c r="C254" s="17" t="s">
        <v>100</v>
      </c>
      <c r="D254" s="18">
        <v>30</v>
      </c>
      <c r="E254" s="19">
        <v>40</v>
      </c>
    </row>
    <row r="255" spans="1:5" x14ac:dyDescent="0.3">
      <c r="A255" s="15" t="s">
        <v>132</v>
      </c>
      <c r="B255" s="16" t="s">
        <v>170</v>
      </c>
      <c r="C255" s="17" t="s">
        <v>100</v>
      </c>
      <c r="D255" s="18">
        <v>30</v>
      </c>
      <c r="E255" s="19">
        <v>40</v>
      </c>
    </row>
    <row r="256" spans="1:5" x14ac:dyDescent="0.3">
      <c r="A256" s="15" t="s">
        <v>133</v>
      </c>
      <c r="B256" s="16" t="s">
        <v>171</v>
      </c>
      <c r="C256" s="17" t="s">
        <v>100</v>
      </c>
      <c r="D256" s="18">
        <v>30</v>
      </c>
      <c r="E256" s="19">
        <v>40</v>
      </c>
    </row>
    <row r="257" spans="1:5" x14ac:dyDescent="0.3">
      <c r="A257" s="15" t="s">
        <v>135</v>
      </c>
      <c r="B257" s="16" t="s">
        <v>171</v>
      </c>
      <c r="C257" s="17" t="s">
        <v>100</v>
      </c>
      <c r="D257" s="18">
        <v>30</v>
      </c>
      <c r="E257" s="19">
        <v>40</v>
      </c>
    </row>
    <row r="258" spans="1:5" x14ac:dyDescent="0.3">
      <c r="A258" s="15" t="s">
        <v>136</v>
      </c>
      <c r="B258" s="16" t="s">
        <v>171</v>
      </c>
      <c r="C258" s="17" t="s">
        <v>100</v>
      </c>
      <c r="D258" s="18">
        <v>30</v>
      </c>
      <c r="E258" s="19">
        <v>40</v>
      </c>
    </row>
    <row r="259" spans="1:5" x14ac:dyDescent="0.3">
      <c r="A259" s="15" t="s">
        <v>137</v>
      </c>
      <c r="B259" s="16" t="s">
        <v>171</v>
      </c>
      <c r="C259" s="17" t="s">
        <v>100</v>
      </c>
      <c r="D259" s="18">
        <v>30</v>
      </c>
      <c r="E259" s="19">
        <v>40</v>
      </c>
    </row>
    <row r="260" spans="1:5" x14ac:dyDescent="0.3">
      <c r="A260" s="15" t="s">
        <v>138</v>
      </c>
      <c r="B260" s="16" t="s">
        <v>171</v>
      </c>
      <c r="C260" s="17" t="s">
        <v>100</v>
      </c>
      <c r="D260" s="18">
        <v>30</v>
      </c>
      <c r="E260" s="19">
        <v>40</v>
      </c>
    </row>
    <row r="261" spans="1:5" x14ac:dyDescent="0.3">
      <c r="A261" s="15" t="s">
        <v>139</v>
      </c>
      <c r="B261" s="16" t="s">
        <v>171</v>
      </c>
      <c r="C261" s="17" t="s">
        <v>100</v>
      </c>
      <c r="D261" s="18">
        <v>30</v>
      </c>
      <c r="E261" s="19">
        <v>40</v>
      </c>
    </row>
    <row r="262" spans="1:5" x14ac:dyDescent="0.3">
      <c r="A262" s="15" t="s">
        <v>140</v>
      </c>
      <c r="B262" s="16" t="s">
        <v>171</v>
      </c>
      <c r="C262" s="17" t="s">
        <v>100</v>
      </c>
      <c r="D262" s="18">
        <v>30</v>
      </c>
      <c r="E262" s="19">
        <v>40</v>
      </c>
    </row>
    <row r="263" spans="1:5" x14ac:dyDescent="0.3">
      <c r="A263" s="15" t="s">
        <v>141</v>
      </c>
      <c r="B263" s="16" t="s">
        <v>171</v>
      </c>
      <c r="C263" s="17" t="s">
        <v>100</v>
      </c>
      <c r="D263" s="18">
        <v>30</v>
      </c>
      <c r="E263" s="19">
        <v>40</v>
      </c>
    </row>
    <row r="264" spans="1:5" x14ac:dyDescent="0.3">
      <c r="A264" s="15" t="s">
        <v>98</v>
      </c>
      <c r="B264" s="16" t="s">
        <v>172</v>
      </c>
      <c r="C264" s="17" t="s">
        <v>100</v>
      </c>
      <c r="D264" s="18">
        <v>30</v>
      </c>
      <c r="E264" s="19">
        <v>40</v>
      </c>
    </row>
    <row r="265" spans="1:5" x14ac:dyDescent="0.3">
      <c r="A265" s="15" t="s">
        <v>101</v>
      </c>
      <c r="B265" s="16" t="s">
        <v>172</v>
      </c>
      <c r="C265" s="17" t="s">
        <v>100</v>
      </c>
      <c r="D265" s="18">
        <v>30</v>
      </c>
      <c r="E265" s="19">
        <v>40</v>
      </c>
    </row>
    <row r="266" spans="1:5" x14ac:dyDescent="0.3">
      <c r="A266" s="15" t="s">
        <v>102</v>
      </c>
      <c r="B266" s="16" t="s">
        <v>172</v>
      </c>
      <c r="C266" s="17" t="s">
        <v>100</v>
      </c>
      <c r="D266" s="18">
        <v>30</v>
      </c>
      <c r="E266" s="19">
        <v>40</v>
      </c>
    </row>
    <row r="267" spans="1:5" x14ac:dyDescent="0.3">
      <c r="A267" s="15" t="s">
        <v>103</v>
      </c>
      <c r="B267" s="16" t="s">
        <v>172</v>
      </c>
      <c r="C267" s="17" t="s">
        <v>100</v>
      </c>
      <c r="D267" s="18">
        <v>30</v>
      </c>
      <c r="E267" s="19">
        <v>40</v>
      </c>
    </row>
    <row r="268" spans="1:5" x14ac:dyDescent="0.3">
      <c r="A268" s="15" t="s">
        <v>104</v>
      </c>
      <c r="B268" s="16" t="s">
        <v>172</v>
      </c>
      <c r="C268" s="17" t="s">
        <v>100</v>
      </c>
      <c r="D268" s="18">
        <v>30</v>
      </c>
      <c r="E268" s="19">
        <v>40</v>
      </c>
    </row>
    <row r="269" spans="1:5" x14ac:dyDescent="0.3">
      <c r="A269" s="15" t="s">
        <v>105</v>
      </c>
      <c r="B269" s="16" t="s">
        <v>172</v>
      </c>
      <c r="C269" s="17" t="s">
        <v>100</v>
      </c>
      <c r="D269" s="18">
        <v>30</v>
      </c>
      <c r="E269" s="19">
        <v>40</v>
      </c>
    </row>
    <row r="270" spans="1:5" x14ac:dyDescent="0.3">
      <c r="A270" s="15" t="s">
        <v>106</v>
      </c>
      <c r="B270" s="16" t="s">
        <v>172</v>
      </c>
      <c r="C270" s="17" t="s">
        <v>100</v>
      </c>
      <c r="D270" s="18">
        <v>30</v>
      </c>
      <c r="E270" s="19">
        <v>40</v>
      </c>
    </row>
    <row r="271" spans="1:5" x14ac:dyDescent="0.3">
      <c r="A271" s="15" t="s">
        <v>107</v>
      </c>
      <c r="B271" s="16" t="s">
        <v>173</v>
      </c>
      <c r="C271" s="17" t="s">
        <v>100</v>
      </c>
      <c r="D271" s="18">
        <v>30</v>
      </c>
      <c r="E271" s="19">
        <v>40</v>
      </c>
    </row>
    <row r="272" spans="1:5" x14ac:dyDescent="0.3">
      <c r="A272" s="15" t="s">
        <v>109</v>
      </c>
      <c r="B272" s="16" t="s">
        <v>173</v>
      </c>
      <c r="C272" s="17" t="s">
        <v>100</v>
      </c>
      <c r="D272" s="18">
        <v>30</v>
      </c>
      <c r="E272" s="19">
        <v>40</v>
      </c>
    </row>
    <row r="273" spans="1:5" x14ac:dyDescent="0.3">
      <c r="A273" s="15" t="s">
        <v>110</v>
      </c>
      <c r="B273" s="16" t="s">
        <v>173</v>
      </c>
      <c r="C273" s="17" t="s">
        <v>100</v>
      </c>
      <c r="D273" s="18">
        <v>30</v>
      </c>
      <c r="E273" s="19">
        <v>40</v>
      </c>
    </row>
    <row r="274" spans="1:5" x14ac:dyDescent="0.3">
      <c r="A274" s="15" t="s">
        <v>111</v>
      </c>
      <c r="B274" s="16" t="s">
        <v>173</v>
      </c>
      <c r="C274" s="17" t="s">
        <v>100</v>
      </c>
      <c r="D274" s="18">
        <v>30</v>
      </c>
      <c r="E274" s="19">
        <v>40</v>
      </c>
    </row>
    <row r="275" spans="1:5" x14ac:dyDescent="0.3">
      <c r="A275" s="15" t="s">
        <v>112</v>
      </c>
      <c r="B275" s="16" t="s">
        <v>173</v>
      </c>
      <c r="C275" s="17" t="s">
        <v>100</v>
      </c>
      <c r="D275" s="18">
        <v>30</v>
      </c>
      <c r="E275" s="19">
        <v>40</v>
      </c>
    </row>
    <row r="276" spans="1:5" x14ac:dyDescent="0.3">
      <c r="A276" s="15" t="s">
        <v>114</v>
      </c>
      <c r="B276" s="16" t="s">
        <v>173</v>
      </c>
      <c r="C276" s="17" t="s">
        <v>100</v>
      </c>
      <c r="D276" s="18">
        <v>30</v>
      </c>
      <c r="E276" s="19">
        <v>40</v>
      </c>
    </row>
    <row r="277" spans="1:5" x14ac:dyDescent="0.3">
      <c r="A277" s="15" t="s">
        <v>115</v>
      </c>
      <c r="B277" s="16" t="s">
        <v>174</v>
      </c>
      <c r="C277" s="17" t="s">
        <v>100</v>
      </c>
      <c r="D277" s="18">
        <v>30</v>
      </c>
      <c r="E277" s="19">
        <v>40</v>
      </c>
    </row>
    <row r="278" spans="1:5" x14ac:dyDescent="0.3">
      <c r="A278" s="15" t="s">
        <v>117</v>
      </c>
      <c r="B278" s="16" t="s">
        <v>174</v>
      </c>
      <c r="C278" s="17" t="s">
        <v>100</v>
      </c>
      <c r="D278" s="18">
        <v>30</v>
      </c>
      <c r="E278" s="19">
        <v>40</v>
      </c>
    </row>
    <row r="279" spans="1:5" x14ac:dyDescent="0.3">
      <c r="A279" s="15" t="s">
        <v>118</v>
      </c>
      <c r="B279" s="16" t="s">
        <v>174</v>
      </c>
      <c r="C279" s="17" t="s">
        <v>100</v>
      </c>
      <c r="D279" s="18">
        <v>30</v>
      </c>
      <c r="E279" s="19">
        <v>40</v>
      </c>
    </row>
    <row r="280" spans="1:5" x14ac:dyDescent="0.3">
      <c r="A280" s="15" t="s">
        <v>119</v>
      </c>
      <c r="B280" s="16" t="s">
        <v>174</v>
      </c>
      <c r="C280" s="17" t="s">
        <v>100</v>
      </c>
      <c r="D280" s="18">
        <v>30</v>
      </c>
      <c r="E280" s="19">
        <v>40</v>
      </c>
    </row>
    <row r="281" spans="1:5" x14ac:dyDescent="0.3">
      <c r="A281" s="15" t="s">
        <v>120</v>
      </c>
      <c r="B281" s="16" t="s">
        <v>174</v>
      </c>
      <c r="C281" s="17" t="s">
        <v>100</v>
      </c>
      <c r="D281" s="18">
        <v>30</v>
      </c>
      <c r="E281" s="19">
        <v>40</v>
      </c>
    </row>
    <row r="282" spans="1:5" x14ac:dyDescent="0.3">
      <c r="A282" s="15" t="s">
        <v>121</v>
      </c>
      <c r="B282" s="16" t="s">
        <v>174</v>
      </c>
      <c r="C282" s="17" t="s">
        <v>100</v>
      </c>
      <c r="D282" s="18">
        <v>30</v>
      </c>
      <c r="E282" s="19">
        <v>40</v>
      </c>
    </row>
    <row r="283" spans="1:5" x14ac:dyDescent="0.3">
      <c r="A283" s="15" t="s">
        <v>122</v>
      </c>
      <c r="B283" s="16" t="s">
        <v>174</v>
      </c>
      <c r="C283" s="17" t="s">
        <v>113</v>
      </c>
      <c r="D283" s="18">
        <v>30</v>
      </c>
      <c r="E283" s="19">
        <v>40</v>
      </c>
    </row>
    <row r="284" spans="1:5" x14ac:dyDescent="0.3">
      <c r="A284" s="15" t="s">
        <v>123</v>
      </c>
      <c r="B284" s="16" t="s">
        <v>174</v>
      </c>
      <c r="C284" s="17" t="s">
        <v>100</v>
      </c>
      <c r="D284" s="18">
        <v>30</v>
      </c>
      <c r="E284" s="19">
        <v>40</v>
      </c>
    </row>
    <row r="285" spans="1:5" x14ac:dyDescent="0.3">
      <c r="A285" s="15" t="s">
        <v>124</v>
      </c>
      <c r="B285" s="16" t="s">
        <v>175</v>
      </c>
      <c r="C285" s="17" t="s">
        <v>100</v>
      </c>
      <c r="D285" s="18">
        <v>30</v>
      </c>
      <c r="E285" s="19">
        <v>40</v>
      </c>
    </row>
    <row r="286" spans="1:5" x14ac:dyDescent="0.3">
      <c r="A286" s="15" t="s">
        <v>126</v>
      </c>
      <c r="B286" s="16" t="s">
        <v>175</v>
      </c>
      <c r="C286" s="17" t="s">
        <v>100</v>
      </c>
      <c r="D286" s="18">
        <v>30</v>
      </c>
      <c r="E286" s="19">
        <v>40</v>
      </c>
    </row>
    <row r="287" spans="1:5" x14ac:dyDescent="0.3">
      <c r="A287" s="15" t="s">
        <v>127</v>
      </c>
      <c r="B287" s="16" t="s">
        <v>175</v>
      </c>
      <c r="C287" s="17" t="s">
        <v>100</v>
      </c>
      <c r="D287" s="18">
        <v>30</v>
      </c>
      <c r="E287" s="19">
        <v>40</v>
      </c>
    </row>
    <row r="288" spans="1:5" x14ac:dyDescent="0.3">
      <c r="A288" s="15" t="s">
        <v>128</v>
      </c>
      <c r="B288" s="16" t="s">
        <v>175</v>
      </c>
      <c r="C288" s="17" t="s">
        <v>100</v>
      </c>
      <c r="D288" s="18">
        <v>30</v>
      </c>
      <c r="E288" s="19">
        <v>40</v>
      </c>
    </row>
    <row r="289" spans="1:5" x14ac:dyDescent="0.3">
      <c r="A289" s="15" t="s">
        <v>129</v>
      </c>
      <c r="B289" s="16" t="s">
        <v>175</v>
      </c>
      <c r="C289" s="17" t="s">
        <v>100</v>
      </c>
      <c r="D289" s="18">
        <v>30</v>
      </c>
      <c r="E289" s="19">
        <v>40</v>
      </c>
    </row>
    <row r="290" spans="1:5" x14ac:dyDescent="0.3">
      <c r="A290" s="15" t="s">
        <v>130</v>
      </c>
      <c r="B290" s="16" t="s">
        <v>175</v>
      </c>
      <c r="C290" s="17" t="s">
        <v>100</v>
      </c>
      <c r="D290" s="18">
        <v>30</v>
      </c>
      <c r="E290" s="19">
        <v>40</v>
      </c>
    </row>
    <row r="291" spans="1:5" x14ac:dyDescent="0.3">
      <c r="A291" s="15" t="s">
        <v>131</v>
      </c>
      <c r="B291" s="16" t="s">
        <v>175</v>
      </c>
      <c r="C291" s="17" t="s">
        <v>100</v>
      </c>
      <c r="D291" s="18">
        <v>30</v>
      </c>
      <c r="E291" s="19">
        <v>40</v>
      </c>
    </row>
    <row r="292" spans="1:5" x14ac:dyDescent="0.3">
      <c r="A292" s="15" t="s">
        <v>132</v>
      </c>
      <c r="B292" s="16" t="s">
        <v>175</v>
      </c>
      <c r="C292" s="17" t="s">
        <v>100</v>
      </c>
      <c r="D292" s="18">
        <v>30</v>
      </c>
      <c r="E292" s="19">
        <v>40</v>
      </c>
    </row>
    <row r="293" spans="1:5" x14ac:dyDescent="0.3">
      <c r="A293" s="15" t="s">
        <v>133</v>
      </c>
      <c r="B293" s="16" t="s">
        <v>176</v>
      </c>
      <c r="C293" s="17" t="s">
        <v>100</v>
      </c>
      <c r="D293" s="18">
        <v>30</v>
      </c>
      <c r="E293" s="19">
        <v>40</v>
      </c>
    </row>
    <row r="294" spans="1:5" x14ac:dyDescent="0.3">
      <c r="A294" s="15" t="s">
        <v>135</v>
      </c>
      <c r="B294" s="16" t="s">
        <v>176</v>
      </c>
      <c r="C294" s="17" t="s">
        <v>100</v>
      </c>
      <c r="D294" s="18">
        <v>30</v>
      </c>
      <c r="E294" s="19">
        <v>40</v>
      </c>
    </row>
    <row r="295" spans="1:5" x14ac:dyDescent="0.3">
      <c r="A295" s="15" t="s">
        <v>136</v>
      </c>
      <c r="B295" s="16" t="s">
        <v>176</v>
      </c>
      <c r="C295" s="17" t="s">
        <v>100</v>
      </c>
      <c r="D295" s="18">
        <v>30</v>
      </c>
      <c r="E295" s="19">
        <v>40</v>
      </c>
    </row>
    <row r="296" spans="1:5" x14ac:dyDescent="0.3">
      <c r="A296" s="15" t="s">
        <v>137</v>
      </c>
      <c r="B296" s="16" t="s">
        <v>176</v>
      </c>
      <c r="C296" s="17" t="s">
        <v>100</v>
      </c>
      <c r="D296" s="18">
        <v>30</v>
      </c>
      <c r="E296" s="19">
        <v>40</v>
      </c>
    </row>
    <row r="297" spans="1:5" x14ac:dyDescent="0.3">
      <c r="A297" s="15" t="s">
        <v>138</v>
      </c>
      <c r="B297" s="16" t="s">
        <v>176</v>
      </c>
      <c r="C297" s="17" t="s">
        <v>100</v>
      </c>
      <c r="D297" s="18">
        <v>30</v>
      </c>
      <c r="E297" s="19">
        <v>40</v>
      </c>
    </row>
    <row r="298" spans="1:5" x14ac:dyDescent="0.3">
      <c r="A298" s="15" t="s">
        <v>139</v>
      </c>
      <c r="B298" s="16" t="s">
        <v>176</v>
      </c>
      <c r="C298" s="17" t="s">
        <v>100</v>
      </c>
      <c r="D298" s="18">
        <v>30</v>
      </c>
      <c r="E298" s="19">
        <v>40</v>
      </c>
    </row>
    <row r="299" spans="1:5" x14ac:dyDescent="0.3">
      <c r="A299" s="15" t="s">
        <v>140</v>
      </c>
      <c r="B299" s="16" t="s">
        <v>176</v>
      </c>
      <c r="C299" s="17" t="s">
        <v>100</v>
      </c>
      <c r="D299" s="18">
        <v>30</v>
      </c>
      <c r="E299" s="19">
        <v>40</v>
      </c>
    </row>
    <row r="300" spans="1:5" x14ac:dyDescent="0.3">
      <c r="A300" s="15" t="s">
        <v>141</v>
      </c>
      <c r="B300" s="16" t="s">
        <v>176</v>
      </c>
      <c r="C300" s="17" t="s">
        <v>100</v>
      </c>
      <c r="D300" s="18">
        <v>30</v>
      </c>
      <c r="E300" s="19">
        <v>40</v>
      </c>
    </row>
    <row r="301" spans="1:5" x14ac:dyDescent="0.3">
      <c r="A301" s="15" t="s">
        <v>98</v>
      </c>
      <c r="B301" s="16" t="s">
        <v>177</v>
      </c>
      <c r="C301" s="17" t="s">
        <v>100</v>
      </c>
      <c r="D301" s="18">
        <v>30</v>
      </c>
      <c r="E301" s="19">
        <v>40</v>
      </c>
    </row>
    <row r="302" spans="1:5" x14ac:dyDescent="0.3">
      <c r="A302" s="15" t="s">
        <v>101</v>
      </c>
      <c r="B302" s="16" t="s">
        <v>177</v>
      </c>
      <c r="C302" s="17" t="s">
        <v>100</v>
      </c>
      <c r="D302" s="18">
        <v>30</v>
      </c>
      <c r="E302" s="19">
        <v>40</v>
      </c>
    </row>
    <row r="303" spans="1:5" x14ac:dyDescent="0.3">
      <c r="A303" s="15" t="s">
        <v>102</v>
      </c>
      <c r="B303" s="16" t="s">
        <v>177</v>
      </c>
      <c r="C303" s="17" t="s">
        <v>100</v>
      </c>
      <c r="D303" s="18">
        <v>30</v>
      </c>
      <c r="E303" s="19">
        <v>40</v>
      </c>
    </row>
    <row r="304" spans="1:5" x14ac:dyDescent="0.3">
      <c r="A304" s="15" t="s">
        <v>103</v>
      </c>
      <c r="B304" s="16" t="s">
        <v>177</v>
      </c>
      <c r="C304" s="17" t="s">
        <v>100</v>
      </c>
      <c r="D304" s="18">
        <v>30</v>
      </c>
      <c r="E304" s="19">
        <v>40</v>
      </c>
    </row>
    <row r="305" spans="1:5" x14ac:dyDescent="0.3">
      <c r="A305" s="15" t="s">
        <v>104</v>
      </c>
      <c r="B305" s="16" t="s">
        <v>177</v>
      </c>
      <c r="C305" s="17" t="s">
        <v>100</v>
      </c>
      <c r="D305" s="18">
        <v>30</v>
      </c>
      <c r="E305" s="19">
        <v>40</v>
      </c>
    </row>
    <row r="306" spans="1:5" x14ac:dyDescent="0.3">
      <c r="A306" s="15" t="s">
        <v>105</v>
      </c>
      <c r="B306" s="16" t="s">
        <v>177</v>
      </c>
      <c r="C306" s="17" t="s">
        <v>100</v>
      </c>
      <c r="D306" s="18">
        <v>30</v>
      </c>
      <c r="E306" s="19">
        <v>40</v>
      </c>
    </row>
    <row r="307" spans="1:5" x14ac:dyDescent="0.3">
      <c r="A307" s="15" t="s">
        <v>106</v>
      </c>
      <c r="B307" s="16" t="s">
        <v>177</v>
      </c>
      <c r="C307" s="17" t="s">
        <v>100</v>
      </c>
      <c r="D307" s="18">
        <v>30</v>
      </c>
      <c r="E307" s="19">
        <v>40</v>
      </c>
    </row>
    <row r="308" spans="1:5" x14ac:dyDescent="0.3">
      <c r="A308" s="15" t="s">
        <v>107</v>
      </c>
      <c r="B308" s="16" t="s">
        <v>178</v>
      </c>
      <c r="C308" s="17" t="s">
        <v>113</v>
      </c>
      <c r="D308" s="18">
        <v>30</v>
      </c>
      <c r="E308" s="19">
        <v>40</v>
      </c>
    </row>
    <row r="309" spans="1:5" x14ac:dyDescent="0.3">
      <c r="A309" s="15" t="s">
        <v>109</v>
      </c>
      <c r="B309" s="16" t="s">
        <v>178</v>
      </c>
      <c r="C309" s="17" t="s">
        <v>113</v>
      </c>
      <c r="D309" s="18">
        <v>30</v>
      </c>
      <c r="E309" s="19">
        <v>40</v>
      </c>
    </row>
    <row r="310" spans="1:5" x14ac:dyDescent="0.3">
      <c r="A310" s="15" t="s">
        <v>110</v>
      </c>
      <c r="B310" s="16" t="s">
        <v>178</v>
      </c>
      <c r="C310" s="17" t="s">
        <v>100</v>
      </c>
      <c r="D310" s="18">
        <v>30</v>
      </c>
      <c r="E310" s="19">
        <v>40</v>
      </c>
    </row>
    <row r="311" spans="1:5" x14ac:dyDescent="0.3">
      <c r="A311" s="15" t="s">
        <v>111</v>
      </c>
      <c r="B311" s="16" t="s">
        <v>178</v>
      </c>
      <c r="C311" s="17" t="s">
        <v>100</v>
      </c>
      <c r="D311" s="18">
        <v>30</v>
      </c>
      <c r="E311" s="19">
        <v>40</v>
      </c>
    </row>
    <row r="312" spans="1:5" x14ac:dyDescent="0.3">
      <c r="A312" s="15" t="s">
        <v>112</v>
      </c>
      <c r="B312" s="16" t="s">
        <v>178</v>
      </c>
      <c r="C312" s="17" t="s">
        <v>113</v>
      </c>
      <c r="D312" s="18">
        <v>30</v>
      </c>
      <c r="E312" s="19">
        <v>40</v>
      </c>
    </row>
    <row r="313" spans="1:5" x14ac:dyDescent="0.3">
      <c r="A313" s="15" t="s">
        <v>114</v>
      </c>
      <c r="B313" s="16" t="s">
        <v>178</v>
      </c>
      <c r="C313" s="17" t="s">
        <v>100</v>
      </c>
      <c r="D313" s="18">
        <v>30</v>
      </c>
      <c r="E313" s="19">
        <v>40</v>
      </c>
    </row>
    <row r="314" spans="1:5" x14ac:dyDescent="0.3">
      <c r="A314" s="15" t="s">
        <v>115</v>
      </c>
      <c r="B314" s="16" t="s">
        <v>179</v>
      </c>
      <c r="C314" s="17" t="s">
        <v>100</v>
      </c>
      <c r="D314" s="18">
        <v>30</v>
      </c>
      <c r="E314" s="19">
        <v>40</v>
      </c>
    </row>
    <row r="315" spans="1:5" x14ac:dyDescent="0.3">
      <c r="A315" s="15" t="s">
        <v>117</v>
      </c>
      <c r="B315" s="16" t="s">
        <v>179</v>
      </c>
      <c r="C315" s="17" t="s">
        <v>100</v>
      </c>
      <c r="D315" s="18">
        <v>30</v>
      </c>
      <c r="E315" s="19">
        <v>40</v>
      </c>
    </row>
    <row r="316" spans="1:5" x14ac:dyDescent="0.3">
      <c r="A316" s="15" t="s">
        <v>118</v>
      </c>
      <c r="B316" s="16" t="s">
        <v>179</v>
      </c>
      <c r="C316" s="17" t="s">
        <v>100</v>
      </c>
      <c r="D316" s="18">
        <v>30</v>
      </c>
      <c r="E316" s="19">
        <v>40</v>
      </c>
    </row>
    <row r="317" spans="1:5" x14ac:dyDescent="0.3">
      <c r="A317" s="15" t="s">
        <v>119</v>
      </c>
      <c r="B317" s="16" t="s">
        <v>179</v>
      </c>
      <c r="C317" s="17" t="s">
        <v>100</v>
      </c>
      <c r="D317" s="18">
        <v>30</v>
      </c>
      <c r="E317" s="19">
        <v>40</v>
      </c>
    </row>
    <row r="318" spans="1:5" x14ac:dyDescent="0.3">
      <c r="A318" s="15" t="s">
        <v>120</v>
      </c>
      <c r="B318" s="16" t="s">
        <v>179</v>
      </c>
      <c r="C318" s="17" t="s">
        <v>100</v>
      </c>
      <c r="D318" s="18">
        <v>30</v>
      </c>
      <c r="E318" s="19">
        <v>40</v>
      </c>
    </row>
    <row r="319" spans="1:5" x14ac:dyDescent="0.3">
      <c r="A319" s="15" t="s">
        <v>121</v>
      </c>
      <c r="B319" s="16" t="s">
        <v>179</v>
      </c>
      <c r="C319" s="17" t="s">
        <v>100</v>
      </c>
      <c r="D319" s="18">
        <v>30</v>
      </c>
      <c r="E319" s="19">
        <v>40</v>
      </c>
    </row>
    <row r="320" spans="1:5" x14ac:dyDescent="0.3">
      <c r="A320" s="15" t="s">
        <v>122</v>
      </c>
      <c r="B320" s="16" t="s">
        <v>179</v>
      </c>
      <c r="C320" s="17" t="s">
        <v>100</v>
      </c>
      <c r="D320" s="18">
        <v>30</v>
      </c>
      <c r="E320" s="19">
        <v>40</v>
      </c>
    </row>
    <row r="321" spans="1:5" x14ac:dyDescent="0.3">
      <c r="A321" s="15" t="s">
        <v>123</v>
      </c>
      <c r="B321" s="16" t="s">
        <v>179</v>
      </c>
      <c r="C321" s="17" t="s">
        <v>100</v>
      </c>
      <c r="D321" s="18">
        <v>30</v>
      </c>
      <c r="E321" s="19">
        <v>40</v>
      </c>
    </row>
    <row r="322" spans="1:5" x14ac:dyDescent="0.3">
      <c r="A322" s="15" t="s">
        <v>124</v>
      </c>
      <c r="B322" s="16" t="s">
        <v>180</v>
      </c>
      <c r="C322" s="17" t="s">
        <v>100</v>
      </c>
      <c r="D322" s="18">
        <v>30</v>
      </c>
      <c r="E322" s="19">
        <v>40</v>
      </c>
    </row>
    <row r="323" spans="1:5" x14ac:dyDescent="0.3">
      <c r="A323" s="15" t="s">
        <v>126</v>
      </c>
      <c r="B323" s="16" t="s">
        <v>180</v>
      </c>
      <c r="C323" s="17" t="s">
        <v>100</v>
      </c>
      <c r="D323" s="18">
        <v>30</v>
      </c>
      <c r="E323" s="19">
        <v>40</v>
      </c>
    </row>
    <row r="324" spans="1:5" x14ac:dyDescent="0.3">
      <c r="A324" s="15" t="s">
        <v>127</v>
      </c>
      <c r="B324" s="16" t="s">
        <v>180</v>
      </c>
      <c r="C324" s="17" t="s">
        <v>100</v>
      </c>
      <c r="D324" s="18">
        <v>30</v>
      </c>
      <c r="E324" s="19">
        <v>40</v>
      </c>
    </row>
    <row r="325" spans="1:5" x14ac:dyDescent="0.3">
      <c r="A325" s="15" t="s">
        <v>128</v>
      </c>
      <c r="B325" s="16" t="s">
        <v>180</v>
      </c>
      <c r="C325" s="17" t="s">
        <v>100</v>
      </c>
      <c r="D325" s="18">
        <v>30</v>
      </c>
      <c r="E325" s="19">
        <v>40</v>
      </c>
    </row>
    <row r="326" spans="1:5" x14ac:dyDescent="0.3">
      <c r="A326" s="15" t="s">
        <v>129</v>
      </c>
      <c r="B326" s="16" t="s">
        <v>180</v>
      </c>
      <c r="C326" s="17" t="s">
        <v>100</v>
      </c>
      <c r="D326" s="18">
        <v>30</v>
      </c>
      <c r="E326" s="19">
        <v>40</v>
      </c>
    </row>
    <row r="327" spans="1:5" x14ac:dyDescent="0.3">
      <c r="A327" s="15" t="s">
        <v>130</v>
      </c>
      <c r="B327" s="16" t="s">
        <v>180</v>
      </c>
      <c r="C327" s="17" t="s">
        <v>100</v>
      </c>
      <c r="D327" s="18">
        <v>30</v>
      </c>
      <c r="E327" s="19">
        <v>40</v>
      </c>
    </row>
    <row r="328" spans="1:5" x14ac:dyDescent="0.3">
      <c r="A328" s="15" t="s">
        <v>131</v>
      </c>
      <c r="B328" s="16" t="s">
        <v>180</v>
      </c>
      <c r="C328" s="17" t="s">
        <v>100</v>
      </c>
      <c r="D328" s="18">
        <v>30</v>
      </c>
      <c r="E328" s="19">
        <v>40</v>
      </c>
    </row>
    <row r="329" spans="1:5" x14ac:dyDescent="0.3">
      <c r="A329" s="15" t="s">
        <v>132</v>
      </c>
      <c r="B329" s="16" t="s">
        <v>180</v>
      </c>
      <c r="C329" s="17" t="s">
        <v>100</v>
      </c>
      <c r="D329" s="18">
        <v>30</v>
      </c>
      <c r="E329" s="19">
        <v>40</v>
      </c>
    </row>
    <row r="330" spans="1:5" x14ac:dyDescent="0.3">
      <c r="A330" s="15" t="s">
        <v>133</v>
      </c>
      <c r="B330" s="16" t="s">
        <v>181</v>
      </c>
      <c r="C330" s="17" t="s">
        <v>100</v>
      </c>
      <c r="D330" s="18">
        <v>30</v>
      </c>
      <c r="E330" s="19">
        <v>40</v>
      </c>
    </row>
    <row r="331" spans="1:5" x14ac:dyDescent="0.3">
      <c r="A331" s="15" t="s">
        <v>135</v>
      </c>
      <c r="B331" s="16" t="s">
        <v>181</v>
      </c>
      <c r="C331" s="17" t="s">
        <v>100</v>
      </c>
      <c r="D331" s="18">
        <v>30</v>
      </c>
      <c r="E331" s="19">
        <v>40</v>
      </c>
    </row>
    <row r="332" spans="1:5" x14ac:dyDescent="0.3">
      <c r="A332" s="15" t="s">
        <v>136</v>
      </c>
      <c r="B332" s="16" t="s">
        <v>181</v>
      </c>
      <c r="C332" s="17" t="s">
        <v>100</v>
      </c>
      <c r="D332" s="18">
        <v>30</v>
      </c>
      <c r="E332" s="19">
        <v>40</v>
      </c>
    </row>
    <row r="333" spans="1:5" x14ac:dyDescent="0.3">
      <c r="A333" s="15" t="s">
        <v>137</v>
      </c>
      <c r="B333" s="16" t="s">
        <v>181</v>
      </c>
      <c r="C333" s="17" t="s">
        <v>100</v>
      </c>
      <c r="D333" s="18">
        <v>30</v>
      </c>
      <c r="E333" s="19">
        <v>40</v>
      </c>
    </row>
    <row r="334" spans="1:5" x14ac:dyDescent="0.3">
      <c r="A334" s="15" t="s">
        <v>138</v>
      </c>
      <c r="B334" s="16" t="s">
        <v>181</v>
      </c>
      <c r="C334" s="17" t="s">
        <v>100</v>
      </c>
      <c r="D334" s="18">
        <v>30</v>
      </c>
      <c r="E334" s="19">
        <v>40</v>
      </c>
    </row>
    <row r="335" spans="1:5" x14ac:dyDescent="0.3">
      <c r="A335" s="15" t="s">
        <v>139</v>
      </c>
      <c r="B335" s="16" t="s">
        <v>181</v>
      </c>
      <c r="C335" s="17" t="s">
        <v>100</v>
      </c>
      <c r="D335" s="18">
        <v>30</v>
      </c>
      <c r="E335" s="19">
        <v>40</v>
      </c>
    </row>
    <row r="336" spans="1:5" x14ac:dyDescent="0.3">
      <c r="A336" s="15" t="s">
        <v>140</v>
      </c>
      <c r="B336" s="16" t="s">
        <v>181</v>
      </c>
      <c r="C336" s="17" t="s">
        <v>100</v>
      </c>
      <c r="D336" s="18">
        <v>30</v>
      </c>
      <c r="E336" s="19">
        <v>40</v>
      </c>
    </row>
    <row r="337" spans="1:5" x14ac:dyDescent="0.3">
      <c r="A337" s="15" t="s">
        <v>141</v>
      </c>
      <c r="B337" s="16" t="s">
        <v>181</v>
      </c>
      <c r="C337" s="17" t="s">
        <v>100</v>
      </c>
      <c r="D337" s="18">
        <v>30</v>
      </c>
      <c r="E337" s="19">
        <v>40</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1"/>
  <sheetViews>
    <sheetView showGridLines="0" workbookViewId="0">
      <pane ySplit="3" topLeftCell="A4" activePane="bottomLeft" state="frozen"/>
      <selection pane="bottomLeft"/>
    </sheetView>
  </sheetViews>
  <sheetFormatPr defaultRowHeight="14.4" x14ac:dyDescent="0.3"/>
  <cols>
    <col min="1" max="5" width="14" customWidth="1"/>
    <col min="6" max="6" width="16" customWidth="1"/>
  </cols>
  <sheetData>
    <row r="1" spans="1:6" ht="18" x14ac:dyDescent="0.35">
      <c r="A1" s="34" t="s">
        <v>182</v>
      </c>
      <c r="B1" s="31"/>
      <c r="C1" s="31"/>
      <c r="D1" s="31"/>
      <c r="E1" s="31"/>
      <c r="F1" s="31"/>
    </row>
    <row r="3" spans="1:6" ht="28.8" x14ac:dyDescent="0.3">
      <c r="A3" s="5" t="s">
        <v>93</v>
      </c>
      <c r="B3" s="5" t="s">
        <v>183</v>
      </c>
      <c r="C3" s="5" t="s">
        <v>184</v>
      </c>
      <c r="D3" s="5" t="s">
        <v>185</v>
      </c>
      <c r="E3" s="5" t="s">
        <v>186</v>
      </c>
      <c r="F3" s="5" t="s">
        <v>187</v>
      </c>
    </row>
    <row r="4" spans="1:6" x14ac:dyDescent="0.3">
      <c r="A4" s="20" t="s">
        <v>98</v>
      </c>
      <c r="B4" s="10">
        <f>COUNTIFS(Data!$A$5:$A$337,A4)</f>
        <v>9</v>
      </c>
      <c r="C4" s="10">
        <f>COUNTIFS(Data!$A$5:$A$337,A4,Data!$C$5:$C$337,"Y")</f>
        <v>9</v>
      </c>
      <c r="D4" s="14">
        <f>SUMIFS(Data!$D$5:$D$337,Data!$A$5:$A$337,A4,Data!$C$5:$C$337,"Y")/60</f>
        <v>4.5</v>
      </c>
      <c r="E4" s="7">
        <f>SUMIFS(Data!$E$5:$E$337,Data!$A$5:$A$337,A4,Data!$C$5:$C$337,"Y")</f>
        <v>360</v>
      </c>
      <c r="F4" s="7">
        <f t="shared" ref="F4:F41" si="0">IFERROR(E4/D4,0)</f>
        <v>80</v>
      </c>
    </row>
    <row r="5" spans="1:6" x14ac:dyDescent="0.3">
      <c r="A5" s="20" t="s">
        <v>101</v>
      </c>
      <c r="B5" s="10">
        <f>COUNTIFS(Data!$A$5:$A$337,A5)</f>
        <v>9</v>
      </c>
      <c r="C5" s="10">
        <f>COUNTIFS(Data!$A$5:$A$337,A5,Data!$C$5:$C$337,"Y")</f>
        <v>9</v>
      </c>
      <c r="D5" s="14">
        <f>SUMIFS(Data!$D$5:$D$337,Data!$A$5:$A$337,A5,Data!$C$5:$C$337,"Y")/60</f>
        <v>4.5</v>
      </c>
      <c r="E5" s="7">
        <f>SUMIFS(Data!$E$5:$E$337,Data!$A$5:$A$337,A5,Data!$C$5:$C$337,"Y")</f>
        <v>360</v>
      </c>
      <c r="F5" s="7">
        <f t="shared" si="0"/>
        <v>80</v>
      </c>
    </row>
    <row r="6" spans="1:6" x14ac:dyDescent="0.3">
      <c r="A6" s="20" t="s">
        <v>102</v>
      </c>
      <c r="B6" s="10">
        <f>COUNTIFS(Data!$A$5:$A$337,A6)</f>
        <v>9</v>
      </c>
      <c r="C6" s="10">
        <f>COUNTIFS(Data!$A$5:$A$337,A6,Data!$C$5:$C$337,"Y")</f>
        <v>9</v>
      </c>
      <c r="D6" s="14">
        <f>SUMIFS(Data!$D$5:$D$337,Data!$A$5:$A$337,A6,Data!$C$5:$C$337,"Y")/60</f>
        <v>4.5</v>
      </c>
      <c r="E6" s="7">
        <f>SUMIFS(Data!$E$5:$E$337,Data!$A$5:$A$337,A6,Data!$C$5:$C$337,"Y")</f>
        <v>360</v>
      </c>
      <c r="F6" s="7">
        <f t="shared" si="0"/>
        <v>80</v>
      </c>
    </row>
    <row r="7" spans="1:6" x14ac:dyDescent="0.3">
      <c r="A7" s="20" t="s">
        <v>107</v>
      </c>
      <c r="B7" s="10">
        <f>COUNTIFS(Data!$A$5:$A$337,A7)</f>
        <v>9</v>
      </c>
      <c r="C7" s="10">
        <f>COUNTIFS(Data!$A$5:$A$337,A7,Data!$C$5:$C$337,"Y")</f>
        <v>8</v>
      </c>
      <c r="D7" s="14">
        <f>SUMIFS(Data!$D$5:$D$337,Data!$A$5:$A$337,A7,Data!$C$5:$C$337,"Y")/60</f>
        <v>4</v>
      </c>
      <c r="E7" s="7">
        <f>SUMIFS(Data!$E$5:$E$337,Data!$A$5:$A$337,A7,Data!$C$5:$C$337,"Y")</f>
        <v>320</v>
      </c>
      <c r="F7" s="7">
        <f t="shared" si="0"/>
        <v>80</v>
      </c>
    </row>
    <row r="8" spans="1:6" x14ac:dyDescent="0.3">
      <c r="A8" s="20" t="s">
        <v>109</v>
      </c>
      <c r="B8" s="10">
        <f>COUNTIFS(Data!$A$5:$A$337,A8)</f>
        <v>9</v>
      </c>
      <c r="C8" s="10">
        <f>COUNTIFS(Data!$A$5:$A$337,A8,Data!$C$5:$C$337,"Y")</f>
        <v>8</v>
      </c>
      <c r="D8" s="14">
        <f>SUMIFS(Data!$D$5:$D$337,Data!$A$5:$A$337,A8,Data!$C$5:$C$337,"Y")/60</f>
        <v>4</v>
      </c>
      <c r="E8" s="7">
        <f>SUMIFS(Data!$E$5:$E$337,Data!$A$5:$A$337,A8,Data!$C$5:$C$337,"Y")</f>
        <v>320</v>
      </c>
      <c r="F8" s="7">
        <f t="shared" si="0"/>
        <v>80</v>
      </c>
    </row>
    <row r="9" spans="1:6" x14ac:dyDescent="0.3">
      <c r="A9" s="20" t="s">
        <v>103</v>
      </c>
      <c r="B9" s="10">
        <f>COUNTIFS(Data!$A$5:$A$337,A9)</f>
        <v>9</v>
      </c>
      <c r="C9" s="10">
        <f>COUNTIFS(Data!$A$5:$A$337,A9,Data!$C$5:$C$337,"Y")</f>
        <v>8</v>
      </c>
      <c r="D9" s="14">
        <f>SUMIFS(Data!$D$5:$D$337,Data!$A$5:$A$337,A9,Data!$C$5:$C$337,"Y")/60</f>
        <v>4</v>
      </c>
      <c r="E9" s="7">
        <f>SUMIFS(Data!$E$5:$E$337,Data!$A$5:$A$337,A9,Data!$C$5:$C$337,"Y")</f>
        <v>320</v>
      </c>
      <c r="F9" s="7">
        <f t="shared" si="0"/>
        <v>80</v>
      </c>
    </row>
    <row r="10" spans="1:6" x14ac:dyDescent="0.3">
      <c r="A10" s="20" t="s">
        <v>104</v>
      </c>
      <c r="B10" s="10">
        <f>COUNTIFS(Data!$A$5:$A$337,A10)</f>
        <v>9</v>
      </c>
      <c r="C10" s="10">
        <f>COUNTIFS(Data!$A$5:$A$337,A10,Data!$C$5:$C$337,"Y")</f>
        <v>7</v>
      </c>
      <c r="D10" s="14">
        <f>SUMIFS(Data!$D$5:$D$337,Data!$A$5:$A$337,A10,Data!$C$5:$C$337,"Y")/60</f>
        <v>3.5</v>
      </c>
      <c r="E10" s="7">
        <f>SUMIFS(Data!$E$5:$E$337,Data!$A$5:$A$337,A10,Data!$C$5:$C$337,"Y")</f>
        <v>280</v>
      </c>
      <c r="F10" s="7">
        <f t="shared" si="0"/>
        <v>80</v>
      </c>
    </row>
    <row r="11" spans="1:6" x14ac:dyDescent="0.3">
      <c r="A11" s="20" t="s">
        <v>105</v>
      </c>
      <c r="B11" s="10">
        <f>COUNTIFS(Data!$A$5:$A$337,A11)</f>
        <v>9</v>
      </c>
      <c r="C11" s="10">
        <f>COUNTIFS(Data!$A$5:$A$337,A11,Data!$C$5:$C$337,"Y")</f>
        <v>8</v>
      </c>
      <c r="D11" s="14">
        <f>SUMIFS(Data!$D$5:$D$337,Data!$A$5:$A$337,A11,Data!$C$5:$C$337,"Y")/60</f>
        <v>4</v>
      </c>
      <c r="E11" s="7">
        <f>SUMIFS(Data!$E$5:$E$337,Data!$A$5:$A$337,A11,Data!$C$5:$C$337,"Y")</f>
        <v>320</v>
      </c>
      <c r="F11" s="7">
        <f t="shared" si="0"/>
        <v>80</v>
      </c>
    </row>
    <row r="12" spans="1:6" x14ac:dyDescent="0.3">
      <c r="A12" s="20" t="s">
        <v>106</v>
      </c>
      <c r="B12" s="10">
        <f>COUNTIFS(Data!$A$5:$A$337,A12)</f>
        <v>9</v>
      </c>
      <c r="C12" s="10">
        <f>COUNTIFS(Data!$A$5:$A$337,A12,Data!$C$5:$C$337,"Y")</f>
        <v>8</v>
      </c>
      <c r="D12" s="14">
        <f>SUMIFS(Data!$D$5:$D$337,Data!$A$5:$A$337,A12,Data!$C$5:$C$337,"Y")/60</f>
        <v>4</v>
      </c>
      <c r="E12" s="7">
        <f>SUMIFS(Data!$E$5:$E$337,Data!$A$5:$A$337,A12,Data!$C$5:$C$337,"Y")</f>
        <v>320</v>
      </c>
      <c r="F12" s="7">
        <f t="shared" si="0"/>
        <v>80</v>
      </c>
    </row>
    <row r="13" spans="1:6" x14ac:dyDescent="0.3">
      <c r="A13" s="20" t="s">
        <v>110</v>
      </c>
      <c r="B13" s="10">
        <f>COUNTIFS(Data!$A$5:$A$337,A13)</f>
        <v>9</v>
      </c>
      <c r="C13" s="10">
        <f>COUNTIFS(Data!$A$5:$A$337,A13,Data!$C$5:$C$337,"Y")</f>
        <v>9</v>
      </c>
      <c r="D13" s="14">
        <f>SUMIFS(Data!$D$5:$D$337,Data!$A$5:$A$337,A13,Data!$C$5:$C$337,"Y")/60</f>
        <v>4.5</v>
      </c>
      <c r="E13" s="7">
        <f>SUMIFS(Data!$E$5:$E$337,Data!$A$5:$A$337,A13,Data!$C$5:$C$337,"Y")</f>
        <v>360</v>
      </c>
      <c r="F13" s="7">
        <f t="shared" si="0"/>
        <v>80</v>
      </c>
    </row>
    <row r="14" spans="1:6" x14ac:dyDescent="0.3">
      <c r="A14" s="20" t="s">
        <v>111</v>
      </c>
      <c r="B14" s="10">
        <f>COUNTIFS(Data!$A$5:$A$337,A14)</f>
        <v>9</v>
      </c>
      <c r="C14" s="10">
        <f>COUNTIFS(Data!$A$5:$A$337,A14,Data!$C$5:$C$337,"Y")</f>
        <v>9</v>
      </c>
      <c r="D14" s="14">
        <f>SUMIFS(Data!$D$5:$D$337,Data!$A$5:$A$337,A14,Data!$C$5:$C$337,"Y")/60</f>
        <v>4.5</v>
      </c>
      <c r="E14" s="7">
        <f>SUMIFS(Data!$E$5:$E$337,Data!$A$5:$A$337,A14,Data!$C$5:$C$337,"Y")</f>
        <v>360</v>
      </c>
      <c r="F14" s="7">
        <f t="shared" si="0"/>
        <v>80</v>
      </c>
    </row>
    <row r="15" spans="1:6" x14ac:dyDescent="0.3">
      <c r="A15" s="20" t="s">
        <v>112</v>
      </c>
      <c r="B15" s="10">
        <f>COUNTIFS(Data!$A$5:$A$337,A15)</f>
        <v>9</v>
      </c>
      <c r="C15" s="10">
        <f>COUNTIFS(Data!$A$5:$A$337,A15,Data!$C$5:$C$337,"Y")</f>
        <v>7</v>
      </c>
      <c r="D15" s="14">
        <f>SUMIFS(Data!$D$5:$D$337,Data!$A$5:$A$337,A15,Data!$C$5:$C$337,"Y")/60</f>
        <v>3.5</v>
      </c>
      <c r="E15" s="7">
        <f>SUMIFS(Data!$E$5:$E$337,Data!$A$5:$A$337,A15,Data!$C$5:$C$337,"Y")</f>
        <v>280</v>
      </c>
      <c r="F15" s="7">
        <f t="shared" si="0"/>
        <v>80</v>
      </c>
    </row>
    <row r="16" spans="1:6" x14ac:dyDescent="0.3">
      <c r="A16" s="20" t="s">
        <v>114</v>
      </c>
      <c r="B16" s="10">
        <f>COUNTIFS(Data!$A$5:$A$337,A16)</f>
        <v>9</v>
      </c>
      <c r="C16" s="10">
        <f>COUNTIFS(Data!$A$5:$A$337,A16,Data!$C$5:$C$337,"Y")</f>
        <v>9</v>
      </c>
      <c r="D16" s="14">
        <f>SUMIFS(Data!$D$5:$D$337,Data!$A$5:$A$337,A16,Data!$C$5:$C$337,"Y")/60</f>
        <v>4.5</v>
      </c>
      <c r="E16" s="7">
        <f>SUMIFS(Data!$E$5:$E$337,Data!$A$5:$A$337,A16,Data!$C$5:$C$337,"Y")</f>
        <v>360</v>
      </c>
      <c r="F16" s="7">
        <f t="shared" si="0"/>
        <v>80</v>
      </c>
    </row>
    <row r="17" spans="1:6" x14ac:dyDescent="0.3">
      <c r="A17" s="20" t="s">
        <v>115</v>
      </c>
      <c r="B17" s="10">
        <f>COUNTIFS(Data!$A$5:$A$337,A17)</f>
        <v>9</v>
      </c>
      <c r="C17" s="10">
        <f>COUNTIFS(Data!$A$5:$A$337,A17,Data!$C$5:$C$337,"Y")</f>
        <v>8</v>
      </c>
      <c r="D17" s="14">
        <f>SUMIFS(Data!$D$5:$D$337,Data!$A$5:$A$337,A17,Data!$C$5:$C$337,"Y")/60</f>
        <v>4</v>
      </c>
      <c r="E17" s="7">
        <f>SUMIFS(Data!$E$5:$E$337,Data!$A$5:$A$337,A17,Data!$C$5:$C$337,"Y")</f>
        <v>320</v>
      </c>
      <c r="F17" s="7">
        <f t="shared" si="0"/>
        <v>80</v>
      </c>
    </row>
    <row r="18" spans="1:6" x14ac:dyDescent="0.3">
      <c r="A18" s="20" t="s">
        <v>117</v>
      </c>
      <c r="B18" s="10">
        <f>COUNTIFS(Data!$A$5:$A$337,A18)</f>
        <v>9</v>
      </c>
      <c r="C18" s="10">
        <f>COUNTIFS(Data!$A$5:$A$337,A18,Data!$C$5:$C$337,"Y")</f>
        <v>8</v>
      </c>
      <c r="D18" s="14">
        <f>SUMIFS(Data!$D$5:$D$337,Data!$A$5:$A$337,A18,Data!$C$5:$C$337,"Y")/60</f>
        <v>4</v>
      </c>
      <c r="E18" s="7">
        <f>SUMIFS(Data!$E$5:$E$337,Data!$A$5:$A$337,A18,Data!$C$5:$C$337,"Y")</f>
        <v>320</v>
      </c>
      <c r="F18" s="7">
        <f t="shared" si="0"/>
        <v>80</v>
      </c>
    </row>
    <row r="19" spans="1:6" x14ac:dyDescent="0.3">
      <c r="A19" s="20" t="s">
        <v>118</v>
      </c>
      <c r="B19" s="10">
        <f>COUNTIFS(Data!$A$5:$A$337,A19)</f>
        <v>9</v>
      </c>
      <c r="C19" s="10">
        <f>COUNTIFS(Data!$A$5:$A$337,A19,Data!$C$5:$C$337,"Y")</f>
        <v>8</v>
      </c>
      <c r="D19" s="14">
        <f>SUMIFS(Data!$D$5:$D$337,Data!$A$5:$A$337,A19,Data!$C$5:$C$337,"Y")/60</f>
        <v>4</v>
      </c>
      <c r="E19" s="7">
        <f>SUMIFS(Data!$E$5:$E$337,Data!$A$5:$A$337,A19,Data!$C$5:$C$337,"Y")</f>
        <v>320</v>
      </c>
      <c r="F19" s="7">
        <f t="shared" si="0"/>
        <v>80</v>
      </c>
    </row>
    <row r="20" spans="1:6" x14ac:dyDescent="0.3">
      <c r="A20" s="20" t="s">
        <v>119</v>
      </c>
      <c r="B20" s="10">
        <f>COUNTIFS(Data!$A$5:$A$337,A20)</f>
        <v>9</v>
      </c>
      <c r="C20" s="10">
        <f>COUNTIFS(Data!$A$5:$A$337,A20,Data!$C$5:$C$337,"Y")</f>
        <v>8</v>
      </c>
      <c r="D20" s="14">
        <f>SUMIFS(Data!$D$5:$D$337,Data!$A$5:$A$337,A20,Data!$C$5:$C$337,"Y")/60</f>
        <v>4</v>
      </c>
      <c r="E20" s="7">
        <f>SUMIFS(Data!$E$5:$E$337,Data!$A$5:$A$337,A20,Data!$C$5:$C$337,"Y")</f>
        <v>320</v>
      </c>
      <c r="F20" s="7">
        <f t="shared" si="0"/>
        <v>80</v>
      </c>
    </row>
    <row r="21" spans="1:6" x14ac:dyDescent="0.3">
      <c r="A21" s="20" t="s">
        <v>120</v>
      </c>
      <c r="B21" s="10">
        <f>COUNTIFS(Data!$A$5:$A$337,A21)</f>
        <v>9</v>
      </c>
      <c r="C21" s="10">
        <f>COUNTIFS(Data!$A$5:$A$337,A21,Data!$C$5:$C$337,"Y")</f>
        <v>7</v>
      </c>
      <c r="D21" s="14">
        <f>SUMIFS(Data!$D$5:$D$337,Data!$A$5:$A$337,A21,Data!$C$5:$C$337,"Y")/60</f>
        <v>3.5</v>
      </c>
      <c r="E21" s="7">
        <f>SUMIFS(Data!$E$5:$E$337,Data!$A$5:$A$337,A21,Data!$C$5:$C$337,"Y")</f>
        <v>280</v>
      </c>
      <c r="F21" s="7">
        <f t="shared" si="0"/>
        <v>80</v>
      </c>
    </row>
    <row r="22" spans="1:6" x14ac:dyDescent="0.3">
      <c r="A22" s="20" t="s">
        <v>121</v>
      </c>
      <c r="B22" s="10">
        <f>COUNTIFS(Data!$A$5:$A$337,A22)</f>
        <v>9</v>
      </c>
      <c r="C22" s="10">
        <f>COUNTIFS(Data!$A$5:$A$337,A22,Data!$C$5:$C$337,"Y")</f>
        <v>8</v>
      </c>
      <c r="D22" s="14">
        <f>SUMIFS(Data!$D$5:$D$337,Data!$A$5:$A$337,A22,Data!$C$5:$C$337,"Y")/60</f>
        <v>4</v>
      </c>
      <c r="E22" s="7">
        <f>SUMIFS(Data!$E$5:$E$337,Data!$A$5:$A$337,A22,Data!$C$5:$C$337,"Y")</f>
        <v>320</v>
      </c>
      <c r="F22" s="7">
        <f t="shared" si="0"/>
        <v>80</v>
      </c>
    </row>
    <row r="23" spans="1:6" x14ac:dyDescent="0.3">
      <c r="A23" s="20" t="s">
        <v>122</v>
      </c>
      <c r="B23" s="10">
        <f>COUNTIFS(Data!$A$5:$A$337,A23)</f>
        <v>9</v>
      </c>
      <c r="C23" s="10">
        <f>COUNTIFS(Data!$A$5:$A$337,A23,Data!$C$5:$C$337,"Y")</f>
        <v>5</v>
      </c>
      <c r="D23" s="14">
        <f>SUMIFS(Data!$D$5:$D$337,Data!$A$5:$A$337,A23,Data!$C$5:$C$337,"Y")/60</f>
        <v>2.5</v>
      </c>
      <c r="E23" s="7">
        <f>SUMIFS(Data!$E$5:$E$337,Data!$A$5:$A$337,A23,Data!$C$5:$C$337,"Y")</f>
        <v>200</v>
      </c>
      <c r="F23" s="7">
        <f t="shared" si="0"/>
        <v>80</v>
      </c>
    </row>
    <row r="24" spans="1:6" x14ac:dyDescent="0.3">
      <c r="A24" s="20" t="s">
        <v>123</v>
      </c>
      <c r="B24" s="10">
        <f>COUNTIFS(Data!$A$5:$A$337,A24)</f>
        <v>9</v>
      </c>
      <c r="C24" s="10">
        <f>COUNTIFS(Data!$A$5:$A$337,A24,Data!$C$5:$C$337,"Y")</f>
        <v>8</v>
      </c>
      <c r="D24" s="14">
        <f>SUMIFS(Data!$D$5:$D$337,Data!$A$5:$A$337,A24,Data!$C$5:$C$337,"Y")/60</f>
        <v>4</v>
      </c>
      <c r="E24" s="7">
        <f>SUMIFS(Data!$E$5:$E$337,Data!$A$5:$A$337,A24,Data!$C$5:$C$337,"Y")</f>
        <v>320</v>
      </c>
      <c r="F24" s="7">
        <f t="shared" si="0"/>
        <v>80</v>
      </c>
    </row>
    <row r="25" spans="1:6" x14ac:dyDescent="0.3">
      <c r="A25" s="20" t="s">
        <v>124</v>
      </c>
      <c r="B25" s="10">
        <f>COUNTIFS(Data!$A$5:$A$337,A25)</f>
        <v>10</v>
      </c>
      <c r="C25" s="10">
        <f>COUNTIFS(Data!$A$5:$A$337,A25,Data!$C$5:$C$337,"Y")</f>
        <v>9</v>
      </c>
      <c r="D25" s="14">
        <f>SUMIFS(Data!$D$5:$D$337,Data!$A$5:$A$337,A25,Data!$C$5:$C$337,"Y")/60</f>
        <v>4.5</v>
      </c>
      <c r="E25" s="7">
        <f>SUMIFS(Data!$E$5:$E$337,Data!$A$5:$A$337,A25,Data!$C$5:$C$337,"Y")</f>
        <v>360</v>
      </c>
      <c r="F25" s="7">
        <f t="shared" si="0"/>
        <v>80</v>
      </c>
    </row>
    <row r="26" spans="1:6" x14ac:dyDescent="0.3">
      <c r="A26" s="20" t="s">
        <v>126</v>
      </c>
      <c r="B26" s="10">
        <f>COUNTIFS(Data!$A$5:$A$337,A26)</f>
        <v>10</v>
      </c>
      <c r="C26" s="10">
        <f>COUNTIFS(Data!$A$5:$A$337,A26,Data!$C$5:$C$337,"Y")</f>
        <v>9</v>
      </c>
      <c r="D26" s="14">
        <f>SUMIFS(Data!$D$5:$D$337,Data!$A$5:$A$337,A26,Data!$C$5:$C$337,"Y")/60</f>
        <v>4.5</v>
      </c>
      <c r="E26" s="7">
        <f>SUMIFS(Data!$E$5:$E$337,Data!$A$5:$A$337,A26,Data!$C$5:$C$337,"Y")</f>
        <v>360</v>
      </c>
      <c r="F26" s="7">
        <f t="shared" si="0"/>
        <v>80</v>
      </c>
    </row>
    <row r="27" spans="1:6" x14ac:dyDescent="0.3">
      <c r="A27" s="20" t="s">
        <v>127</v>
      </c>
      <c r="B27" s="10">
        <f>COUNTIFS(Data!$A$5:$A$337,A27)</f>
        <v>10</v>
      </c>
      <c r="C27" s="10">
        <f>COUNTIFS(Data!$A$5:$A$337,A27,Data!$C$5:$C$337,"Y")</f>
        <v>9</v>
      </c>
      <c r="D27" s="14">
        <f>SUMIFS(Data!$D$5:$D$337,Data!$A$5:$A$337,A27,Data!$C$5:$C$337,"Y")/60</f>
        <v>4.5</v>
      </c>
      <c r="E27" s="7">
        <f>SUMIFS(Data!$E$5:$E$337,Data!$A$5:$A$337,A27,Data!$C$5:$C$337,"Y")</f>
        <v>360</v>
      </c>
      <c r="F27" s="7">
        <f t="shared" si="0"/>
        <v>80</v>
      </c>
    </row>
    <row r="28" spans="1:6" x14ac:dyDescent="0.3">
      <c r="A28" s="20" t="s">
        <v>128</v>
      </c>
      <c r="B28" s="10">
        <f>COUNTIFS(Data!$A$5:$A$337,A28)</f>
        <v>10</v>
      </c>
      <c r="C28" s="10">
        <f>COUNTIFS(Data!$A$5:$A$337,A28,Data!$C$5:$C$337,"Y")</f>
        <v>10</v>
      </c>
      <c r="D28" s="14">
        <f>SUMIFS(Data!$D$5:$D$337,Data!$A$5:$A$337,A28,Data!$C$5:$C$337,"Y")/60</f>
        <v>5</v>
      </c>
      <c r="E28" s="7">
        <f>SUMIFS(Data!$E$5:$E$337,Data!$A$5:$A$337,A28,Data!$C$5:$C$337,"Y")</f>
        <v>400</v>
      </c>
      <c r="F28" s="7">
        <f t="shared" si="0"/>
        <v>80</v>
      </c>
    </row>
    <row r="29" spans="1:6" x14ac:dyDescent="0.3">
      <c r="A29" s="20" t="s">
        <v>129</v>
      </c>
      <c r="B29" s="10">
        <f>COUNTIFS(Data!$A$5:$A$337,A29)</f>
        <v>10</v>
      </c>
      <c r="C29" s="10">
        <f>COUNTIFS(Data!$A$5:$A$337,A29,Data!$C$5:$C$337,"Y")</f>
        <v>8</v>
      </c>
      <c r="D29" s="14">
        <f>SUMIFS(Data!$D$5:$D$337,Data!$A$5:$A$337,A29,Data!$C$5:$C$337,"Y")/60</f>
        <v>4</v>
      </c>
      <c r="E29" s="7">
        <f>SUMIFS(Data!$E$5:$E$337,Data!$A$5:$A$337,A29,Data!$C$5:$C$337,"Y")</f>
        <v>320</v>
      </c>
      <c r="F29" s="7">
        <f t="shared" si="0"/>
        <v>80</v>
      </c>
    </row>
    <row r="30" spans="1:6" x14ac:dyDescent="0.3">
      <c r="A30" s="20" t="s">
        <v>130</v>
      </c>
      <c r="B30" s="10">
        <f>COUNTIFS(Data!$A$5:$A$337,A30)</f>
        <v>10</v>
      </c>
      <c r="C30" s="10">
        <f>COUNTIFS(Data!$A$5:$A$337,A30,Data!$C$5:$C$337,"Y")</f>
        <v>10</v>
      </c>
      <c r="D30" s="14">
        <f>SUMIFS(Data!$D$5:$D$337,Data!$A$5:$A$337,A30,Data!$C$5:$C$337,"Y")/60</f>
        <v>5</v>
      </c>
      <c r="E30" s="7">
        <f>SUMIFS(Data!$E$5:$E$337,Data!$A$5:$A$337,A30,Data!$C$5:$C$337,"Y")</f>
        <v>400</v>
      </c>
      <c r="F30" s="7">
        <f t="shared" si="0"/>
        <v>80</v>
      </c>
    </row>
    <row r="31" spans="1:6" x14ac:dyDescent="0.3">
      <c r="A31" s="20" t="s">
        <v>131</v>
      </c>
      <c r="B31" s="10">
        <f>COUNTIFS(Data!$A$5:$A$337,A31)</f>
        <v>10</v>
      </c>
      <c r="C31" s="10">
        <f>COUNTIFS(Data!$A$5:$A$337,A31,Data!$C$5:$C$337,"Y")</f>
        <v>9</v>
      </c>
      <c r="D31" s="14">
        <f>SUMIFS(Data!$D$5:$D$337,Data!$A$5:$A$337,A31,Data!$C$5:$C$337,"Y")/60</f>
        <v>4.5</v>
      </c>
      <c r="E31" s="7">
        <f>SUMIFS(Data!$E$5:$E$337,Data!$A$5:$A$337,A31,Data!$C$5:$C$337,"Y")</f>
        <v>360</v>
      </c>
      <c r="F31" s="7">
        <f t="shared" si="0"/>
        <v>80</v>
      </c>
    </row>
    <row r="32" spans="1:6" x14ac:dyDescent="0.3">
      <c r="A32" s="20" t="s">
        <v>132</v>
      </c>
      <c r="B32" s="10">
        <f>COUNTIFS(Data!$A$5:$A$337,A32)</f>
        <v>10</v>
      </c>
      <c r="C32" s="10">
        <f>COUNTIFS(Data!$A$5:$A$337,A32,Data!$C$5:$C$337,"Y")</f>
        <v>10</v>
      </c>
      <c r="D32" s="14">
        <f>SUMIFS(Data!$D$5:$D$337,Data!$A$5:$A$337,A32,Data!$C$5:$C$337,"Y")/60</f>
        <v>5</v>
      </c>
      <c r="E32" s="7">
        <f>SUMIFS(Data!$E$5:$E$337,Data!$A$5:$A$337,A32,Data!$C$5:$C$337,"Y")</f>
        <v>400</v>
      </c>
      <c r="F32" s="7">
        <f t="shared" si="0"/>
        <v>80</v>
      </c>
    </row>
    <row r="33" spans="1:6" x14ac:dyDescent="0.3">
      <c r="A33" s="20" t="s">
        <v>133</v>
      </c>
      <c r="B33" s="10">
        <f>COUNTIFS(Data!$A$5:$A$337,A33)</f>
        <v>8</v>
      </c>
      <c r="C33" s="10">
        <f>COUNTIFS(Data!$A$5:$A$337,A33,Data!$C$5:$C$337,"Y")</f>
        <v>8</v>
      </c>
      <c r="D33" s="14">
        <f>SUMIFS(Data!$D$5:$D$337,Data!$A$5:$A$337,A33,Data!$C$5:$C$337,"Y")/60</f>
        <v>4</v>
      </c>
      <c r="E33" s="7">
        <f>SUMIFS(Data!$E$5:$E$337,Data!$A$5:$A$337,A33,Data!$C$5:$C$337,"Y")</f>
        <v>320</v>
      </c>
      <c r="F33" s="7">
        <f t="shared" si="0"/>
        <v>80</v>
      </c>
    </row>
    <row r="34" spans="1:6" x14ac:dyDescent="0.3">
      <c r="A34" s="20" t="s">
        <v>135</v>
      </c>
      <c r="B34" s="10">
        <f>COUNTIFS(Data!$A$5:$A$337,A34)</f>
        <v>8</v>
      </c>
      <c r="C34" s="10">
        <f>COUNTIFS(Data!$A$5:$A$337,A34,Data!$C$5:$C$337,"Y")</f>
        <v>8</v>
      </c>
      <c r="D34" s="14">
        <f>SUMIFS(Data!$D$5:$D$337,Data!$A$5:$A$337,A34,Data!$C$5:$C$337,"Y")/60</f>
        <v>4</v>
      </c>
      <c r="E34" s="7">
        <f>SUMIFS(Data!$E$5:$E$337,Data!$A$5:$A$337,A34,Data!$C$5:$C$337,"Y")</f>
        <v>320</v>
      </c>
      <c r="F34" s="7">
        <f t="shared" si="0"/>
        <v>80</v>
      </c>
    </row>
    <row r="35" spans="1:6" x14ac:dyDescent="0.3">
      <c r="A35" s="20" t="s">
        <v>136</v>
      </c>
      <c r="B35" s="10">
        <f>COUNTIFS(Data!$A$5:$A$337,A35)</f>
        <v>8</v>
      </c>
      <c r="C35" s="10">
        <f>COUNTIFS(Data!$A$5:$A$337,A35,Data!$C$5:$C$337,"Y")</f>
        <v>8</v>
      </c>
      <c r="D35" s="14">
        <f>SUMIFS(Data!$D$5:$D$337,Data!$A$5:$A$337,A35,Data!$C$5:$C$337,"Y")/60</f>
        <v>4</v>
      </c>
      <c r="E35" s="7">
        <f>SUMIFS(Data!$E$5:$E$337,Data!$A$5:$A$337,A35,Data!$C$5:$C$337,"Y")</f>
        <v>320</v>
      </c>
      <c r="F35" s="7">
        <f t="shared" si="0"/>
        <v>80</v>
      </c>
    </row>
    <row r="36" spans="1:6" x14ac:dyDescent="0.3">
      <c r="A36" s="20" t="s">
        <v>137</v>
      </c>
      <c r="B36" s="10">
        <f>COUNTIFS(Data!$A$5:$A$337,A36)</f>
        <v>8</v>
      </c>
      <c r="C36" s="10">
        <f>COUNTIFS(Data!$A$5:$A$337,A36,Data!$C$5:$C$337,"Y")</f>
        <v>6</v>
      </c>
      <c r="D36" s="14">
        <f>SUMIFS(Data!$D$5:$D$337,Data!$A$5:$A$337,A36,Data!$C$5:$C$337,"Y")/60</f>
        <v>3</v>
      </c>
      <c r="E36" s="7">
        <f>SUMIFS(Data!$E$5:$E$337,Data!$A$5:$A$337,A36,Data!$C$5:$C$337,"Y")</f>
        <v>240</v>
      </c>
      <c r="F36" s="7">
        <f t="shared" si="0"/>
        <v>80</v>
      </c>
    </row>
    <row r="37" spans="1:6" x14ac:dyDescent="0.3">
      <c r="A37" s="20" t="s">
        <v>138</v>
      </c>
      <c r="B37" s="10">
        <f>COUNTIFS(Data!$A$5:$A$337,A37)</f>
        <v>8</v>
      </c>
      <c r="C37" s="10">
        <f>COUNTIFS(Data!$A$5:$A$337,A37,Data!$C$5:$C$337,"Y")</f>
        <v>6</v>
      </c>
      <c r="D37" s="14">
        <f>SUMIFS(Data!$D$5:$D$337,Data!$A$5:$A$337,A37,Data!$C$5:$C$337,"Y")/60</f>
        <v>3</v>
      </c>
      <c r="E37" s="7">
        <f>SUMIFS(Data!$E$5:$E$337,Data!$A$5:$A$337,A37,Data!$C$5:$C$337,"Y")</f>
        <v>240</v>
      </c>
      <c r="F37" s="7">
        <f t="shared" si="0"/>
        <v>80</v>
      </c>
    </row>
    <row r="38" spans="1:6" x14ac:dyDescent="0.3">
      <c r="A38" s="20" t="s">
        <v>139</v>
      </c>
      <c r="B38" s="10">
        <f>COUNTIFS(Data!$A$5:$A$337,A38)</f>
        <v>8</v>
      </c>
      <c r="C38" s="10">
        <f>COUNTIFS(Data!$A$5:$A$337,A38,Data!$C$5:$C$337,"Y")</f>
        <v>6</v>
      </c>
      <c r="D38" s="14">
        <f>SUMIFS(Data!$D$5:$D$337,Data!$A$5:$A$337,A38,Data!$C$5:$C$337,"Y")/60</f>
        <v>3</v>
      </c>
      <c r="E38" s="7">
        <f>SUMIFS(Data!$E$5:$E$337,Data!$A$5:$A$337,A38,Data!$C$5:$C$337,"Y")</f>
        <v>240</v>
      </c>
      <c r="F38" s="7">
        <f t="shared" si="0"/>
        <v>80</v>
      </c>
    </row>
    <row r="39" spans="1:6" x14ac:dyDescent="0.3">
      <c r="A39" s="20" t="s">
        <v>140</v>
      </c>
      <c r="B39" s="10">
        <f>COUNTIFS(Data!$A$5:$A$337,A39)</f>
        <v>8</v>
      </c>
      <c r="C39" s="10">
        <f>COUNTIFS(Data!$A$5:$A$337,A39,Data!$C$5:$C$337,"Y")</f>
        <v>6</v>
      </c>
      <c r="D39" s="14">
        <f>SUMIFS(Data!$D$5:$D$337,Data!$A$5:$A$337,A39,Data!$C$5:$C$337,"Y")/60</f>
        <v>3</v>
      </c>
      <c r="E39" s="7">
        <f>SUMIFS(Data!$E$5:$E$337,Data!$A$5:$A$337,A39,Data!$C$5:$C$337,"Y")</f>
        <v>240</v>
      </c>
      <c r="F39" s="7">
        <f t="shared" si="0"/>
        <v>80</v>
      </c>
    </row>
    <row r="40" spans="1:6" x14ac:dyDescent="0.3">
      <c r="A40" s="20" t="s">
        <v>141</v>
      </c>
      <c r="B40" s="10">
        <f>COUNTIFS(Data!$A$5:$A$337,A40)</f>
        <v>8</v>
      </c>
      <c r="C40" s="10">
        <f>COUNTIFS(Data!$A$5:$A$337,A40,Data!$C$5:$C$337,"Y")</f>
        <v>6</v>
      </c>
      <c r="D40" s="14">
        <f>SUMIFS(Data!$D$5:$D$337,Data!$A$5:$A$337,A40,Data!$C$5:$C$337,"Y")/60</f>
        <v>3</v>
      </c>
      <c r="E40" s="7">
        <f>SUMIFS(Data!$E$5:$E$337,Data!$A$5:$A$337,A40,Data!$C$5:$C$337,"Y")</f>
        <v>240</v>
      </c>
      <c r="F40" s="7">
        <f t="shared" si="0"/>
        <v>80</v>
      </c>
    </row>
    <row r="41" spans="1:6" x14ac:dyDescent="0.3">
      <c r="A41" s="21" t="s">
        <v>188</v>
      </c>
      <c r="B41" s="22">
        <f>SUM(B4:B40)</f>
        <v>333</v>
      </c>
      <c r="C41" s="22">
        <f>SUM(C4:C40)</f>
        <v>296</v>
      </c>
      <c r="D41" s="23">
        <f>SUM(D4:D40)</f>
        <v>148</v>
      </c>
      <c r="E41" s="24">
        <f>SUM(E4:E40)</f>
        <v>11840</v>
      </c>
      <c r="F41" s="24">
        <f t="shared" si="0"/>
        <v>80</v>
      </c>
    </row>
  </sheetData>
  <mergeCells count="1">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5"/>
  <sheetViews>
    <sheetView showGridLines="0" workbookViewId="0">
      <pane ySplit="7" topLeftCell="A8" activePane="bottomLeft" state="frozen"/>
      <selection pane="bottomLeft"/>
    </sheetView>
  </sheetViews>
  <sheetFormatPr defaultRowHeight="14.4" x14ac:dyDescent="0.3"/>
  <cols>
    <col min="1" max="1" width="14" customWidth="1"/>
    <col min="2" max="3" width="16" customWidth="1"/>
    <col min="4" max="5" width="18" customWidth="1"/>
    <col min="6" max="8" width="14" customWidth="1"/>
  </cols>
  <sheetData>
    <row r="1" spans="1:8" ht="18" x14ac:dyDescent="0.35">
      <c r="A1" s="34" t="s">
        <v>189</v>
      </c>
      <c r="B1" s="31"/>
      <c r="C1" s="31"/>
      <c r="D1" s="31"/>
      <c r="E1" s="31"/>
      <c r="F1" s="31"/>
      <c r="G1" s="31"/>
      <c r="H1" s="31"/>
    </row>
    <row r="2" spans="1:8" ht="30" customHeight="1" x14ac:dyDescent="0.3">
      <c r="A2" s="33" t="s">
        <v>190</v>
      </c>
      <c r="B2" s="31"/>
      <c r="C2" s="31"/>
      <c r="D2" s="31"/>
      <c r="E2" s="31"/>
      <c r="F2" s="31"/>
      <c r="G2" s="31"/>
      <c r="H2" s="31"/>
    </row>
    <row r="4" spans="1:8" ht="45" customHeight="1" x14ac:dyDescent="0.3">
      <c r="A4" s="25" t="s">
        <v>191</v>
      </c>
      <c r="B4" s="7">
        <f>Assumptions!$B$32*Assumptions!$B$17</f>
        <v>882</v>
      </c>
    </row>
    <row r="5" spans="1:8" ht="45" customHeight="1" x14ac:dyDescent="0.3">
      <c r="A5" s="25" t="s">
        <v>192</v>
      </c>
      <c r="B5" s="14">
        <f>Assumptions!$B$25*Assumptions!$B$17</f>
        <v>67.5</v>
      </c>
    </row>
    <row r="7" spans="1:8" ht="28.8" x14ac:dyDescent="0.3">
      <c r="A7" s="5" t="s">
        <v>93</v>
      </c>
      <c r="B7" s="5" t="s">
        <v>184</v>
      </c>
      <c r="C7" s="5" t="s">
        <v>193</v>
      </c>
      <c r="D7" s="5" t="s">
        <v>194</v>
      </c>
      <c r="E7" s="5" t="s">
        <v>195</v>
      </c>
      <c r="F7" s="5" t="s">
        <v>186</v>
      </c>
      <c r="G7" s="5" t="s">
        <v>196</v>
      </c>
      <c r="H7" s="5" t="s">
        <v>197</v>
      </c>
    </row>
    <row r="8" spans="1:8" x14ac:dyDescent="0.3">
      <c r="A8" s="20" t="str">
        <f>'Revenue by student'!A4</f>
        <v>Student 01</v>
      </c>
      <c r="B8" s="10">
        <f>'Revenue by student'!C4</f>
        <v>9</v>
      </c>
      <c r="C8" s="11">
        <f>IFERROR(B8/'Revenue by student'!$C$41,0)</f>
        <v>3.0405405405405407E-2</v>
      </c>
      <c r="D8" s="7">
        <f t="shared" ref="D8:D44" si="0">C8*$B$4</f>
        <v>26.817567567567568</v>
      </c>
      <c r="E8" s="14">
        <f t="shared" ref="E8:E44" si="1">C8*$B$5</f>
        <v>2.0523648648648649</v>
      </c>
      <c r="F8" s="7">
        <f>'Revenue by student'!E4</f>
        <v>360</v>
      </c>
      <c r="G8" s="7">
        <f t="shared" ref="G8:G44" si="2">F8-D8</f>
        <v>333.18243243243245</v>
      </c>
      <c r="H8" s="14">
        <f>'Revenue by student'!D4+E8</f>
        <v>6.5523648648648649</v>
      </c>
    </row>
    <row r="9" spans="1:8" x14ac:dyDescent="0.3">
      <c r="A9" s="20" t="str">
        <f>'Revenue by student'!A5</f>
        <v>Student 02</v>
      </c>
      <c r="B9" s="10">
        <f>'Revenue by student'!C5</f>
        <v>9</v>
      </c>
      <c r="C9" s="11">
        <f>IFERROR(B9/'Revenue by student'!$C$41,0)</f>
        <v>3.0405405405405407E-2</v>
      </c>
      <c r="D9" s="7">
        <f t="shared" si="0"/>
        <v>26.817567567567568</v>
      </c>
      <c r="E9" s="14">
        <f t="shared" si="1"/>
        <v>2.0523648648648649</v>
      </c>
      <c r="F9" s="7">
        <f>'Revenue by student'!E5</f>
        <v>360</v>
      </c>
      <c r="G9" s="7">
        <f t="shared" si="2"/>
        <v>333.18243243243245</v>
      </c>
      <c r="H9" s="14">
        <f>'Revenue by student'!D5+E9</f>
        <v>6.5523648648648649</v>
      </c>
    </row>
    <row r="10" spans="1:8" x14ac:dyDescent="0.3">
      <c r="A10" s="20" t="str">
        <f>'Revenue by student'!A6</f>
        <v>Student 03</v>
      </c>
      <c r="B10" s="10">
        <f>'Revenue by student'!C6</f>
        <v>9</v>
      </c>
      <c r="C10" s="11">
        <f>IFERROR(B10/'Revenue by student'!$C$41,0)</f>
        <v>3.0405405405405407E-2</v>
      </c>
      <c r="D10" s="7">
        <f t="shared" si="0"/>
        <v>26.817567567567568</v>
      </c>
      <c r="E10" s="14">
        <f t="shared" si="1"/>
        <v>2.0523648648648649</v>
      </c>
      <c r="F10" s="7">
        <f>'Revenue by student'!E6</f>
        <v>360</v>
      </c>
      <c r="G10" s="7">
        <f t="shared" si="2"/>
        <v>333.18243243243245</v>
      </c>
      <c r="H10" s="14">
        <f>'Revenue by student'!D6+E10</f>
        <v>6.5523648648648649</v>
      </c>
    </row>
    <row r="11" spans="1:8" x14ac:dyDescent="0.3">
      <c r="A11" s="20" t="str">
        <f>'Revenue by student'!A7</f>
        <v>Student 04</v>
      </c>
      <c r="B11" s="10">
        <f>'Revenue by student'!C7</f>
        <v>8</v>
      </c>
      <c r="C11" s="11">
        <f>IFERROR(B11/'Revenue by student'!$C$41,0)</f>
        <v>2.7027027027027029E-2</v>
      </c>
      <c r="D11" s="7">
        <f t="shared" si="0"/>
        <v>23.837837837837839</v>
      </c>
      <c r="E11" s="14">
        <f t="shared" si="1"/>
        <v>1.8243243243243243</v>
      </c>
      <c r="F11" s="7">
        <f>'Revenue by student'!E7</f>
        <v>320</v>
      </c>
      <c r="G11" s="7">
        <f t="shared" si="2"/>
        <v>296.16216216216219</v>
      </c>
      <c r="H11" s="14">
        <f>'Revenue by student'!D7+E11</f>
        <v>5.8243243243243246</v>
      </c>
    </row>
    <row r="12" spans="1:8" x14ac:dyDescent="0.3">
      <c r="A12" s="20" t="str">
        <f>'Revenue by student'!A8</f>
        <v>Student 05</v>
      </c>
      <c r="B12" s="10">
        <f>'Revenue by student'!C8</f>
        <v>8</v>
      </c>
      <c r="C12" s="11">
        <f>IFERROR(B12/'Revenue by student'!$C$41,0)</f>
        <v>2.7027027027027029E-2</v>
      </c>
      <c r="D12" s="7">
        <f t="shared" si="0"/>
        <v>23.837837837837839</v>
      </c>
      <c r="E12" s="14">
        <f t="shared" si="1"/>
        <v>1.8243243243243243</v>
      </c>
      <c r="F12" s="7">
        <f>'Revenue by student'!E8</f>
        <v>320</v>
      </c>
      <c r="G12" s="7">
        <f t="shared" si="2"/>
        <v>296.16216216216219</v>
      </c>
      <c r="H12" s="14">
        <f>'Revenue by student'!D8+E12</f>
        <v>5.8243243243243246</v>
      </c>
    </row>
    <row r="13" spans="1:8" x14ac:dyDescent="0.3">
      <c r="A13" s="20" t="str">
        <f>'Revenue by student'!A9</f>
        <v>Student 06</v>
      </c>
      <c r="B13" s="10">
        <f>'Revenue by student'!C9</f>
        <v>8</v>
      </c>
      <c r="C13" s="11">
        <f>IFERROR(B13/'Revenue by student'!$C$41,0)</f>
        <v>2.7027027027027029E-2</v>
      </c>
      <c r="D13" s="7">
        <f t="shared" si="0"/>
        <v>23.837837837837839</v>
      </c>
      <c r="E13" s="14">
        <f t="shared" si="1"/>
        <v>1.8243243243243243</v>
      </c>
      <c r="F13" s="7">
        <f>'Revenue by student'!E9</f>
        <v>320</v>
      </c>
      <c r="G13" s="7">
        <f t="shared" si="2"/>
        <v>296.16216216216219</v>
      </c>
      <c r="H13" s="14">
        <f>'Revenue by student'!D9+E13</f>
        <v>5.8243243243243246</v>
      </c>
    </row>
    <row r="14" spans="1:8" x14ac:dyDescent="0.3">
      <c r="A14" s="20" t="str">
        <f>'Revenue by student'!A10</f>
        <v>Student 07</v>
      </c>
      <c r="B14" s="10">
        <f>'Revenue by student'!C10</f>
        <v>7</v>
      </c>
      <c r="C14" s="11">
        <f>IFERROR(B14/'Revenue by student'!$C$41,0)</f>
        <v>2.364864864864865E-2</v>
      </c>
      <c r="D14" s="7">
        <f t="shared" si="0"/>
        <v>20.858108108108109</v>
      </c>
      <c r="E14" s="14">
        <f t="shared" si="1"/>
        <v>1.5962837837837838</v>
      </c>
      <c r="F14" s="7">
        <f>'Revenue by student'!E10</f>
        <v>280</v>
      </c>
      <c r="G14" s="7">
        <f t="shared" si="2"/>
        <v>259.14189189189187</v>
      </c>
      <c r="H14" s="14">
        <f>'Revenue by student'!D10+E14</f>
        <v>5.0962837837837842</v>
      </c>
    </row>
    <row r="15" spans="1:8" x14ac:dyDescent="0.3">
      <c r="A15" s="20" t="str">
        <f>'Revenue by student'!A11</f>
        <v>Student 08</v>
      </c>
      <c r="B15" s="10">
        <f>'Revenue by student'!C11</f>
        <v>8</v>
      </c>
      <c r="C15" s="11">
        <f>IFERROR(B15/'Revenue by student'!$C$41,0)</f>
        <v>2.7027027027027029E-2</v>
      </c>
      <c r="D15" s="7">
        <f t="shared" si="0"/>
        <v>23.837837837837839</v>
      </c>
      <c r="E15" s="14">
        <f t="shared" si="1"/>
        <v>1.8243243243243243</v>
      </c>
      <c r="F15" s="7">
        <f>'Revenue by student'!E11</f>
        <v>320</v>
      </c>
      <c r="G15" s="7">
        <f t="shared" si="2"/>
        <v>296.16216216216219</v>
      </c>
      <c r="H15" s="14">
        <f>'Revenue by student'!D11+E15</f>
        <v>5.8243243243243246</v>
      </c>
    </row>
    <row r="16" spans="1:8" x14ac:dyDescent="0.3">
      <c r="A16" s="20" t="str">
        <f>'Revenue by student'!A12</f>
        <v>Student 09</v>
      </c>
      <c r="B16" s="10">
        <f>'Revenue by student'!C12</f>
        <v>8</v>
      </c>
      <c r="C16" s="11">
        <f>IFERROR(B16/'Revenue by student'!$C$41,0)</f>
        <v>2.7027027027027029E-2</v>
      </c>
      <c r="D16" s="7">
        <f t="shared" si="0"/>
        <v>23.837837837837839</v>
      </c>
      <c r="E16" s="14">
        <f t="shared" si="1"/>
        <v>1.8243243243243243</v>
      </c>
      <c r="F16" s="7">
        <f>'Revenue by student'!E12</f>
        <v>320</v>
      </c>
      <c r="G16" s="7">
        <f t="shared" si="2"/>
        <v>296.16216216216219</v>
      </c>
      <c r="H16" s="14">
        <f>'Revenue by student'!D12+E16</f>
        <v>5.8243243243243246</v>
      </c>
    </row>
    <row r="17" spans="1:8" x14ac:dyDescent="0.3">
      <c r="A17" s="20" t="str">
        <f>'Revenue by student'!A13</f>
        <v>Student 10</v>
      </c>
      <c r="B17" s="10">
        <f>'Revenue by student'!C13</f>
        <v>9</v>
      </c>
      <c r="C17" s="11">
        <f>IFERROR(B17/'Revenue by student'!$C$41,0)</f>
        <v>3.0405405405405407E-2</v>
      </c>
      <c r="D17" s="7">
        <f t="shared" si="0"/>
        <v>26.817567567567568</v>
      </c>
      <c r="E17" s="14">
        <f t="shared" si="1"/>
        <v>2.0523648648648649</v>
      </c>
      <c r="F17" s="7">
        <f>'Revenue by student'!E13</f>
        <v>360</v>
      </c>
      <c r="G17" s="7">
        <f t="shared" si="2"/>
        <v>333.18243243243245</v>
      </c>
      <c r="H17" s="14">
        <f>'Revenue by student'!D13+E17</f>
        <v>6.5523648648648649</v>
      </c>
    </row>
    <row r="18" spans="1:8" x14ac:dyDescent="0.3">
      <c r="A18" s="20" t="str">
        <f>'Revenue by student'!A14</f>
        <v>Student 11</v>
      </c>
      <c r="B18" s="10">
        <f>'Revenue by student'!C14</f>
        <v>9</v>
      </c>
      <c r="C18" s="11">
        <f>IFERROR(B18/'Revenue by student'!$C$41,0)</f>
        <v>3.0405405405405407E-2</v>
      </c>
      <c r="D18" s="7">
        <f t="shared" si="0"/>
        <v>26.817567567567568</v>
      </c>
      <c r="E18" s="14">
        <f t="shared" si="1"/>
        <v>2.0523648648648649</v>
      </c>
      <c r="F18" s="7">
        <f>'Revenue by student'!E14</f>
        <v>360</v>
      </c>
      <c r="G18" s="7">
        <f t="shared" si="2"/>
        <v>333.18243243243245</v>
      </c>
      <c r="H18" s="14">
        <f>'Revenue by student'!D14+E18</f>
        <v>6.5523648648648649</v>
      </c>
    </row>
    <row r="19" spans="1:8" x14ac:dyDescent="0.3">
      <c r="A19" s="20" t="str">
        <f>'Revenue by student'!A15</f>
        <v>Student 12</v>
      </c>
      <c r="B19" s="10">
        <f>'Revenue by student'!C15</f>
        <v>7</v>
      </c>
      <c r="C19" s="11">
        <f>IFERROR(B19/'Revenue by student'!$C$41,0)</f>
        <v>2.364864864864865E-2</v>
      </c>
      <c r="D19" s="7">
        <f t="shared" si="0"/>
        <v>20.858108108108109</v>
      </c>
      <c r="E19" s="14">
        <f t="shared" si="1"/>
        <v>1.5962837837837838</v>
      </c>
      <c r="F19" s="7">
        <f>'Revenue by student'!E15</f>
        <v>280</v>
      </c>
      <c r="G19" s="7">
        <f t="shared" si="2"/>
        <v>259.14189189189187</v>
      </c>
      <c r="H19" s="14">
        <f>'Revenue by student'!D15+E19</f>
        <v>5.0962837837837842</v>
      </c>
    </row>
    <row r="20" spans="1:8" x14ac:dyDescent="0.3">
      <c r="A20" s="20" t="str">
        <f>'Revenue by student'!A16</f>
        <v>Student 13</v>
      </c>
      <c r="B20" s="10">
        <f>'Revenue by student'!C16</f>
        <v>9</v>
      </c>
      <c r="C20" s="11">
        <f>IFERROR(B20/'Revenue by student'!$C$41,0)</f>
        <v>3.0405405405405407E-2</v>
      </c>
      <c r="D20" s="7">
        <f t="shared" si="0"/>
        <v>26.817567567567568</v>
      </c>
      <c r="E20" s="14">
        <f t="shared" si="1"/>
        <v>2.0523648648648649</v>
      </c>
      <c r="F20" s="7">
        <f>'Revenue by student'!E16</f>
        <v>360</v>
      </c>
      <c r="G20" s="7">
        <f t="shared" si="2"/>
        <v>333.18243243243245</v>
      </c>
      <c r="H20" s="14">
        <f>'Revenue by student'!D16+E20</f>
        <v>6.5523648648648649</v>
      </c>
    </row>
    <row r="21" spans="1:8" x14ac:dyDescent="0.3">
      <c r="A21" s="20" t="str">
        <f>'Revenue by student'!A17</f>
        <v>Student 14</v>
      </c>
      <c r="B21" s="10">
        <f>'Revenue by student'!C17</f>
        <v>8</v>
      </c>
      <c r="C21" s="11">
        <f>IFERROR(B21/'Revenue by student'!$C$41,0)</f>
        <v>2.7027027027027029E-2</v>
      </c>
      <c r="D21" s="7">
        <f t="shared" si="0"/>
        <v>23.837837837837839</v>
      </c>
      <c r="E21" s="14">
        <f t="shared" si="1"/>
        <v>1.8243243243243243</v>
      </c>
      <c r="F21" s="7">
        <f>'Revenue by student'!E17</f>
        <v>320</v>
      </c>
      <c r="G21" s="7">
        <f t="shared" si="2"/>
        <v>296.16216216216219</v>
      </c>
      <c r="H21" s="14">
        <f>'Revenue by student'!D17+E21</f>
        <v>5.8243243243243246</v>
      </c>
    </row>
    <row r="22" spans="1:8" x14ac:dyDescent="0.3">
      <c r="A22" s="20" t="str">
        <f>'Revenue by student'!A18</f>
        <v>Student 15</v>
      </c>
      <c r="B22" s="10">
        <f>'Revenue by student'!C18</f>
        <v>8</v>
      </c>
      <c r="C22" s="11">
        <f>IFERROR(B22/'Revenue by student'!$C$41,0)</f>
        <v>2.7027027027027029E-2</v>
      </c>
      <c r="D22" s="7">
        <f t="shared" si="0"/>
        <v>23.837837837837839</v>
      </c>
      <c r="E22" s="14">
        <f t="shared" si="1"/>
        <v>1.8243243243243243</v>
      </c>
      <c r="F22" s="7">
        <f>'Revenue by student'!E18</f>
        <v>320</v>
      </c>
      <c r="G22" s="7">
        <f t="shared" si="2"/>
        <v>296.16216216216219</v>
      </c>
      <c r="H22" s="14">
        <f>'Revenue by student'!D18+E22</f>
        <v>5.8243243243243246</v>
      </c>
    </row>
    <row r="23" spans="1:8" x14ac:dyDescent="0.3">
      <c r="A23" s="20" t="str">
        <f>'Revenue by student'!A19</f>
        <v>Student 16</v>
      </c>
      <c r="B23" s="10">
        <f>'Revenue by student'!C19</f>
        <v>8</v>
      </c>
      <c r="C23" s="11">
        <f>IFERROR(B23/'Revenue by student'!$C$41,0)</f>
        <v>2.7027027027027029E-2</v>
      </c>
      <c r="D23" s="7">
        <f t="shared" si="0"/>
        <v>23.837837837837839</v>
      </c>
      <c r="E23" s="14">
        <f t="shared" si="1"/>
        <v>1.8243243243243243</v>
      </c>
      <c r="F23" s="7">
        <f>'Revenue by student'!E19</f>
        <v>320</v>
      </c>
      <c r="G23" s="7">
        <f t="shared" si="2"/>
        <v>296.16216216216219</v>
      </c>
      <c r="H23" s="14">
        <f>'Revenue by student'!D19+E23</f>
        <v>5.8243243243243246</v>
      </c>
    </row>
    <row r="24" spans="1:8" x14ac:dyDescent="0.3">
      <c r="A24" s="20" t="str">
        <f>'Revenue by student'!A20</f>
        <v>Student 17</v>
      </c>
      <c r="B24" s="10">
        <f>'Revenue by student'!C20</f>
        <v>8</v>
      </c>
      <c r="C24" s="11">
        <f>IFERROR(B24/'Revenue by student'!$C$41,0)</f>
        <v>2.7027027027027029E-2</v>
      </c>
      <c r="D24" s="7">
        <f t="shared" si="0"/>
        <v>23.837837837837839</v>
      </c>
      <c r="E24" s="14">
        <f t="shared" si="1"/>
        <v>1.8243243243243243</v>
      </c>
      <c r="F24" s="7">
        <f>'Revenue by student'!E20</f>
        <v>320</v>
      </c>
      <c r="G24" s="7">
        <f t="shared" si="2"/>
        <v>296.16216216216219</v>
      </c>
      <c r="H24" s="14">
        <f>'Revenue by student'!D20+E24</f>
        <v>5.8243243243243246</v>
      </c>
    </row>
    <row r="25" spans="1:8" x14ac:dyDescent="0.3">
      <c r="A25" s="20" t="str">
        <f>'Revenue by student'!A21</f>
        <v>Student 18</v>
      </c>
      <c r="B25" s="10">
        <f>'Revenue by student'!C21</f>
        <v>7</v>
      </c>
      <c r="C25" s="11">
        <f>IFERROR(B25/'Revenue by student'!$C$41,0)</f>
        <v>2.364864864864865E-2</v>
      </c>
      <c r="D25" s="7">
        <f t="shared" si="0"/>
        <v>20.858108108108109</v>
      </c>
      <c r="E25" s="14">
        <f t="shared" si="1"/>
        <v>1.5962837837837838</v>
      </c>
      <c r="F25" s="7">
        <f>'Revenue by student'!E21</f>
        <v>280</v>
      </c>
      <c r="G25" s="7">
        <f t="shared" si="2"/>
        <v>259.14189189189187</v>
      </c>
      <c r="H25" s="14">
        <f>'Revenue by student'!D21+E25</f>
        <v>5.0962837837837842</v>
      </c>
    </row>
    <row r="26" spans="1:8" x14ac:dyDescent="0.3">
      <c r="A26" s="20" t="str">
        <f>'Revenue by student'!A22</f>
        <v>Student 19</v>
      </c>
      <c r="B26" s="10">
        <f>'Revenue by student'!C22</f>
        <v>8</v>
      </c>
      <c r="C26" s="11">
        <f>IFERROR(B26/'Revenue by student'!$C$41,0)</f>
        <v>2.7027027027027029E-2</v>
      </c>
      <c r="D26" s="7">
        <f t="shared" si="0"/>
        <v>23.837837837837839</v>
      </c>
      <c r="E26" s="14">
        <f t="shared" si="1"/>
        <v>1.8243243243243243</v>
      </c>
      <c r="F26" s="7">
        <f>'Revenue by student'!E22</f>
        <v>320</v>
      </c>
      <c r="G26" s="7">
        <f t="shared" si="2"/>
        <v>296.16216216216219</v>
      </c>
      <c r="H26" s="14">
        <f>'Revenue by student'!D22+E26</f>
        <v>5.8243243243243246</v>
      </c>
    </row>
    <row r="27" spans="1:8" x14ac:dyDescent="0.3">
      <c r="A27" s="20" t="str">
        <f>'Revenue by student'!A23</f>
        <v>Student 20</v>
      </c>
      <c r="B27" s="10">
        <f>'Revenue by student'!C23</f>
        <v>5</v>
      </c>
      <c r="C27" s="11">
        <f>IFERROR(B27/'Revenue by student'!$C$41,0)</f>
        <v>1.6891891891891893E-2</v>
      </c>
      <c r="D27" s="7">
        <f t="shared" si="0"/>
        <v>14.898648648648649</v>
      </c>
      <c r="E27" s="14">
        <f t="shared" si="1"/>
        <v>1.1402027027027029</v>
      </c>
      <c r="F27" s="7">
        <f>'Revenue by student'!E23</f>
        <v>200</v>
      </c>
      <c r="G27" s="7">
        <f t="shared" si="2"/>
        <v>185.10135135135135</v>
      </c>
      <c r="H27" s="14">
        <f>'Revenue by student'!D23+E27</f>
        <v>3.6402027027027026</v>
      </c>
    </row>
    <row r="28" spans="1:8" x14ac:dyDescent="0.3">
      <c r="A28" s="20" t="str">
        <f>'Revenue by student'!A24</f>
        <v>Student 21</v>
      </c>
      <c r="B28" s="10">
        <f>'Revenue by student'!C24</f>
        <v>8</v>
      </c>
      <c r="C28" s="11">
        <f>IFERROR(B28/'Revenue by student'!$C$41,0)</f>
        <v>2.7027027027027029E-2</v>
      </c>
      <c r="D28" s="7">
        <f t="shared" si="0"/>
        <v>23.837837837837839</v>
      </c>
      <c r="E28" s="14">
        <f t="shared" si="1"/>
        <v>1.8243243243243243</v>
      </c>
      <c r="F28" s="7">
        <f>'Revenue by student'!E24</f>
        <v>320</v>
      </c>
      <c r="G28" s="7">
        <f t="shared" si="2"/>
        <v>296.16216216216219</v>
      </c>
      <c r="H28" s="14">
        <f>'Revenue by student'!D24+E28</f>
        <v>5.8243243243243246</v>
      </c>
    </row>
    <row r="29" spans="1:8" x14ac:dyDescent="0.3">
      <c r="A29" s="20" t="str">
        <f>'Revenue by student'!A25</f>
        <v>Student 22</v>
      </c>
      <c r="B29" s="10">
        <f>'Revenue by student'!C25</f>
        <v>9</v>
      </c>
      <c r="C29" s="11">
        <f>IFERROR(B29/'Revenue by student'!$C$41,0)</f>
        <v>3.0405405405405407E-2</v>
      </c>
      <c r="D29" s="7">
        <f t="shared" si="0"/>
        <v>26.817567567567568</v>
      </c>
      <c r="E29" s="14">
        <f t="shared" si="1"/>
        <v>2.0523648648648649</v>
      </c>
      <c r="F29" s="7">
        <f>'Revenue by student'!E25</f>
        <v>360</v>
      </c>
      <c r="G29" s="7">
        <f t="shared" si="2"/>
        <v>333.18243243243245</v>
      </c>
      <c r="H29" s="14">
        <f>'Revenue by student'!D25+E29</f>
        <v>6.5523648648648649</v>
      </c>
    </row>
    <row r="30" spans="1:8" x14ac:dyDescent="0.3">
      <c r="A30" s="20" t="str">
        <f>'Revenue by student'!A26</f>
        <v>Student 23</v>
      </c>
      <c r="B30" s="10">
        <f>'Revenue by student'!C26</f>
        <v>9</v>
      </c>
      <c r="C30" s="11">
        <f>IFERROR(B30/'Revenue by student'!$C$41,0)</f>
        <v>3.0405405405405407E-2</v>
      </c>
      <c r="D30" s="7">
        <f t="shared" si="0"/>
        <v>26.817567567567568</v>
      </c>
      <c r="E30" s="14">
        <f t="shared" si="1"/>
        <v>2.0523648648648649</v>
      </c>
      <c r="F30" s="7">
        <f>'Revenue by student'!E26</f>
        <v>360</v>
      </c>
      <c r="G30" s="7">
        <f t="shared" si="2"/>
        <v>333.18243243243245</v>
      </c>
      <c r="H30" s="14">
        <f>'Revenue by student'!D26+E30</f>
        <v>6.5523648648648649</v>
      </c>
    </row>
    <row r="31" spans="1:8" x14ac:dyDescent="0.3">
      <c r="A31" s="20" t="str">
        <f>'Revenue by student'!A27</f>
        <v>Student 24</v>
      </c>
      <c r="B31" s="10">
        <f>'Revenue by student'!C27</f>
        <v>9</v>
      </c>
      <c r="C31" s="11">
        <f>IFERROR(B31/'Revenue by student'!$C$41,0)</f>
        <v>3.0405405405405407E-2</v>
      </c>
      <c r="D31" s="7">
        <f t="shared" si="0"/>
        <v>26.817567567567568</v>
      </c>
      <c r="E31" s="14">
        <f t="shared" si="1"/>
        <v>2.0523648648648649</v>
      </c>
      <c r="F31" s="7">
        <f>'Revenue by student'!E27</f>
        <v>360</v>
      </c>
      <c r="G31" s="7">
        <f t="shared" si="2"/>
        <v>333.18243243243245</v>
      </c>
      <c r="H31" s="14">
        <f>'Revenue by student'!D27+E31</f>
        <v>6.5523648648648649</v>
      </c>
    </row>
    <row r="32" spans="1:8" x14ac:dyDescent="0.3">
      <c r="A32" s="20" t="str">
        <f>'Revenue by student'!A28</f>
        <v>Student 25</v>
      </c>
      <c r="B32" s="10">
        <f>'Revenue by student'!C28</f>
        <v>10</v>
      </c>
      <c r="C32" s="11">
        <f>IFERROR(B32/'Revenue by student'!$C$41,0)</f>
        <v>3.3783783783783786E-2</v>
      </c>
      <c r="D32" s="7">
        <f t="shared" si="0"/>
        <v>29.797297297297298</v>
      </c>
      <c r="E32" s="14">
        <f t="shared" si="1"/>
        <v>2.2804054054054057</v>
      </c>
      <c r="F32" s="7">
        <f>'Revenue by student'!E28</f>
        <v>400</v>
      </c>
      <c r="G32" s="7">
        <f t="shared" si="2"/>
        <v>370.20270270270271</v>
      </c>
      <c r="H32" s="14">
        <f>'Revenue by student'!D28+E32</f>
        <v>7.2804054054054053</v>
      </c>
    </row>
    <row r="33" spans="1:8" x14ac:dyDescent="0.3">
      <c r="A33" s="20" t="str">
        <f>'Revenue by student'!A29</f>
        <v>Student 26</v>
      </c>
      <c r="B33" s="10">
        <f>'Revenue by student'!C29</f>
        <v>8</v>
      </c>
      <c r="C33" s="11">
        <f>IFERROR(B33/'Revenue by student'!$C$41,0)</f>
        <v>2.7027027027027029E-2</v>
      </c>
      <c r="D33" s="7">
        <f t="shared" si="0"/>
        <v>23.837837837837839</v>
      </c>
      <c r="E33" s="14">
        <f t="shared" si="1"/>
        <v>1.8243243243243243</v>
      </c>
      <c r="F33" s="7">
        <f>'Revenue by student'!E29</f>
        <v>320</v>
      </c>
      <c r="G33" s="7">
        <f t="shared" si="2"/>
        <v>296.16216216216219</v>
      </c>
      <c r="H33" s="14">
        <f>'Revenue by student'!D29+E33</f>
        <v>5.8243243243243246</v>
      </c>
    </row>
    <row r="34" spans="1:8" x14ac:dyDescent="0.3">
      <c r="A34" s="20" t="str">
        <f>'Revenue by student'!A30</f>
        <v>Student 27</v>
      </c>
      <c r="B34" s="10">
        <f>'Revenue by student'!C30</f>
        <v>10</v>
      </c>
      <c r="C34" s="11">
        <f>IFERROR(B34/'Revenue by student'!$C$41,0)</f>
        <v>3.3783783783783786E-2</v>
      </c>
      <c r="D34" s="7">
        <f t="shared" si="0"/>
        <v>29.797297297297298</v>
      </c>
      <c r="E34" s="14">
        <f t="shared" si="1"/>
        <v>2.2804054054054057</v>
      </c>
      <c r="F34" s="7">
        <f>'Revenue by student'!E30</f>
        <v>400</v>
      </c>
      <c r="G34" s="7">
        <f t="shared" si="2"/>
        <v>370.20270270270271</v>
      </c>
      <c r="H34" s="14">
        <f>'Revenue by student'!D30+E34</f>
        <v>7.2804054054054053</v>
      </c>
    </row>
    <row r="35" spans="1:8" x14ac:dyDescent="0.3">
      <c r="A35" s="20" t="str">
        <f>'Revenue by student'!A31</f>
        <v>Student 28</v>
      </c>
      <c r="B35" s="10">
        <f>'Revenue by student'!C31</f>
        <v>9</v>
      </c>
      <c r="C35" s="11">
        <f>IFERROR(B35/'Revenue by student'!$C$41,0)</f>
        <v>3.0405405405405407E-2</v>
      </c>
      <c r="D35" s="7">
        <f t="shared" si="0"/>
        <v>26.817567567567568</v>
      </c>
      <c r="E35" s="14">
        <f t="shared" si="1"/>
        <v>2.0523648648648649</v>
      </c>
      <c r="F35" s="7">
        <f>'Revenue by student'!E31</f>
        <v>360</v>
      </c>
      <c r="G35" s="7">
        <f t="shared" si="2"/>
        <v>333.18243243243245</v>
      </c>
      <c r="H35" s="14">
        <f>'Revenue by student'!D31+E35</f>
        <v>6.5523648648648649</v>
      </c>
    </row>
    <row r="36" spans="1:8" x14ac:dyDescent="0.3">
      <c r="A36" s="20" t="str">
        <f>'Revenue by student'!A32</f>
        <v>Student 29</v>
      </c>
      <c r="B36" s="10">
        <f>'Revenue by student'!C32</f>
        <v>10</v>
      </c>
      <c r="C36" s="11">
        <f>IFERROR(B36/'Revenue by student'!$C$41,0)</f>
        <v>3.3783783783783786E-2</v>
      </c>
      <c r="D36" s="7">
        <f t="shared" si="0"/>
        <v>29.797297297297298</v>
      </c>
      <c r="E36" s="14">
        <f t="shared" si="1"/>
        <v>2.2804054054054057</v>
      </c>
      <c r="F36" s="7">
        <f>'Revenue by student'!E32</f>
        <v>400</v>
      </c>
      <c r="G36" s="7">
        <f t="shared" si="2"/>
        <v>370.20270270270271</v>
      </c>
      <c r="H36" s="14">
        <f>'Revenue by student'!D32+E36</f>
        <v>7.2804054054054053</v>
      </c>
    </row>
    <row r="37" spans="1:8" x14ac:dyDescent="0.3">
      <c r="A37" s="20" t="str">
        <f>'Revenue by student'!A33</f>
        <v>Student 30</v>
      </c>
      <c r="B37" s="10">
        <f>'Revenue by student'!C33</f>
        <v>8</v>
      </c>
      <c r="C37" s="11">
        <f>IFERROR(B37/'Revenue by student'!$C$41,0)</f>
        <v>2.7027027027027029E-2</v>
      </c>
      <c r="D37" s="7">
        <f t="shared" si="0"/>
        <v>23.837837837837839</v>
      </c>
      <c r="E37" s="14">
        <f t="shared" si="1"/>
        <v>1.8243243243243243</v>
      </c>
      <c r="F37" s="7">
        <f>'Revenue by student'!E33</f>
        <v>320</v>
      </c>
      <c r="G37" s="7">
        <f t="shared" si="2"/>
        <v>296.16216216216219</v>
      </c>
      <c r="H37" s="14">
        <f>'Revenue by student'!D33+E37</f>
        <v>5.8243243243243246</v>
      </c>
    </row>
    <row r="38" spans="1:8" x14ac:dyDescent="0.3">
      <c r="A38" s="20" t="str">
        <f>'Revenue by student'!A34</f>
        <v>Student 31</v>
      </c>
      <c r="B38" s="10">
        <f>'Revenue by student'!C34</f>
        <v>8</v>
      </c>
      <c r="C38" s="11">
        <f>IFERROR(B38/'Revenue by student'!$C$41,0)</f>
        <v>2.7027027027027029E-2</v>
      </c>
      <c r="D38" s="7">
        <f t="shared" si="0"/>
        <v>23.837837837837839</v>
      </c>
      <c r="E38" s="14">
        <f t="shared" si="1"/>
        <v>1.8243243243243243</v>
      </c>
      <c r="F38" s="7">
        <f>'Revenue by student'!E34</f>
        <v>320</v>
      </c>
      <c r="G38" s="7">
        <f t="shared" si="2"/>
        <v>296.16216216216219</v>
      </c>
      <c r="H38" s="14">
        <f>'Revenue by student'!D34+E38</f>
        <v>5.8243243243243246</v>
      </c>
    </row>
    <row r="39" spans="1:8" x14ac:dyDescent="0.3">
      <c r="A39" s="20" t="str">
        <f>'Revenue by student'!A35</f>
        <v>Student 32</v>
      </c>
      <c r="B39" s="10">
        <f>'Revenue by student'!C35</f>
        <v>8</v>
      </c>
      <c r="C39" s="11">
        <f>IFERROR(B39/'Revenue by student'!$C$41,0)</f>
        <v>2.7027027027027029E-2</v>
      </c>
      <c r="D39" s="7">
        <f t="shared" si="0"/>
        <v>23.837837837837839</v>
      </c>
      <c r="E39" s="14">
        <f t="shared" si="1"/>
        <v>1.8243243243243243</v>
      </c>
      <c r="F39" s="7">
        <f>'Revenue by student'!E35</f>
        <v>320</v>
      </c>
      <c r="G39" s="7">
        <f t="shared" si="2"/>
        <v>296.16216216216219</v>
      </c>
      <c r="H39" s="14">
        <f>'Revenue by student'!D35+E39</f>
        <v>5.8243243243243246</v>
      </c>
    </row>
    <row r="40" spans="1:8" x14ac:dyDescent="0.3">
      <c r="A40" s="20" t="str">
        <f>'Revenue by student'!A36</f>
        <v>Student 33</v>
      </c>
      <c r="B40" s="10">
        <f>'Revenue by student'!C36</f>
        <v>6</v>
      </c>
      <c r="C40" s="11">
        <f>IFERROR(B40/'Revenue by student'!$C$41,0)</f>
        <v>2.0270270270270271E-2</v>
      </c>
      <c r="D40" s="7">
        <f t="shared" si="0"/>
        <v>17.878378378378379</v>
      </c>
      <c r="E40" s="14">
        <f t="shared" si="1"/>
        <v>1.3682432432432434</v>
      </c>
      <c r="F40" s="7">
        <f>'Revenue by student'!E36</f>
        <v>240</v>
      </c>
      <c r="G40" s="7">
        <f t="shared" si="2"/>
        <v>222.12162162162161</v>
      </c>
      <c r="H40" s="14">
        <f>'Revenue by student'!D36+E40</f>
        <v>4.3682432432432439</v>
      </c>
    </row>
    <row r="41" spans="1:8" x14ac:dyDescent="0.3">
      <c r="A41" s="20" t="str">
        <f>'Revenue by student'!A37</f>
        <v>Student 34</v>
      </c>
      <c r="B41" s="10">
        <f>'Revenue by student'!C37</f>
        <v>6</v>
      </c>
      <c r="C41" s="11">
        <f>IFERROR(B41/'Revenue by student'!$C$41,0)</f>
        <v>2.0270270270270271E-2</v>
      </c>
      <c r="D41" s="7">
        <f t="shared" si="0"/>
        <v>17.878378378378379</v>
      </c>
      <c r="E41" s="14">
        <f t="shared" si="1"/>
        <v>1.3682432432432434</v>
      </c>
      <c r="F41" s="7">
        <f>'Revenue by student'!E37</f>
        <v>240</v>
      </c>
      <c r="G41" s="7">
        <f t="shared" si="2"/>
        <v>222.12162162162161</v>
      </c>
      <c r="H41" s="14">
        <f>'Revenue by student'!D37+E41</f>
        <v>4.3682432432432439</v>
      </c>
    </row>
    <row r="42" spans="1:8" x14ac:dyDescent="0.3">
      <c r="A42" s="20" t="str">
        <f>'Revenue by student'!A38</f>
        <v>Student 35</v>
      </c>
      <c r="B42" s="10">
        <f>'Revenue by student'!C38</f>
        <v>6</v>
      </c>
      <c r="C42" s="11">
        <f>IFERROR(B42/'Revenue by student'!$C$41,0)</f>
        <v>2.0270270270270271E-2</v>
      </c>
      <c r="D42" s="7">
        <f t="shared" si="0"/>
        <v>17.878378378378379</v>
      </c>
      <c r="E42" s="14">
        <f t="shared" si="1"/>
        <v>1.3682432432432434</v>
      </c>
      <c r="F42" s="7">
        <f>'Revenue by student'!E38</f>
        <v>240</v>
      </c>
      <c r="G42" s="7">
        <f t="shared" si="2"/>
        <v>222.12162162162161</v>
      </c>
      <c r="H42" s="14">
        <f>'Revenue by student'!D38+E42</f>
        <v>4.3682432432432439</v>
      </c>
    </row>
    <row r="43" spans="1:8" x14ac:dyDescent="0.3">
      <c r="A43" s="20" t="str">
        <f>'Revenue by student'!A39</f>
        <v>Student 36</v>
      </c>
      <c r="B43" s="10">
        <f>'Revenue by student'!C39</f>
        <v>6</v>
      </c>
      <c r="C43" s="11">
        <f>IFERROR(B43/'Revenue by student'!$C$41,0)</f>
        <v>2.0270270270270271E-2</v>
      </c>
      <c r="D43" s="7">
        <f t="shared" si="0"/>
        <v>17.878378378378379</v>
      </c>
      <c r="E43" s="14">
        <f t="shared" si="1"/>
        <v>1.3682432432432434</v>
      </c>
      <c r="F43" s="7">
        <f>'Revenue by student'!E39</f>
        <v>240</v>
      </c>
      <c r="G43" s="7">
        <f t="shared" si="2"/>
        <v>222.12162162162161</v>
      </c>
      <c r="H43" s="14">
        <f>'Revenue by student'!D39+E43</f>
        <v>4.3682432432432439</v>
      </c>
    </row>
    <row r="44" spans="1:8" x14ac:dyDescent="0.3">
      <c r="A44" s="20" t="str">
        <f>'Revenue by student'!A40</f>
        <v>Student 37</v>
      </c>
      <c r="B44" s="10">
        <f>'Revenue by student'!C40</f>
        <v>6</v>
      </c>
      <c r="C44" s="11">
        <f>IFERROR(B44/'Revenue by student'!$C$41,0)</f>
        <v>2.0270270270270271E-2</v>
      </c>
      <c r="D44" s="7">
        <f t="shared" si="0"/>
        <v>17.878378378378379</v>
      </c>
      <c r="E44" s="14">
        <f t="shared" si="1"/>
        <v>1.3682432432432434</v>
      </c>
      <c r="F44" s="7">
        <f>'Revenue by student'!E40</f>
        <v>240</v>
      </c>
      <c r="G44" s="7">
        <f t="shared" si="2"/>
        <v>222.12162162162161</v>
      </c>
      <c r="H44" s="14">
        <f>'Revenue by student'!D40+E44</f>
        <v>4.3682432432432439</v>
      </c>
    </row>
    <row r="45" spans="1:8" x14ac:dyDescent="0.3">
      <c r="A45" s="21" t="s">
        <v>188</v>
      </c>
      <c r="B45" s="23">
        <f>SUM(B8:B44)</f>
        <v>296</v>
      </c>
      <c r="D45" s="24">
        <f>SUM(D8:D44)</f>
        <v>881.99999999999966</v>
      </c>
      <c r="E45" s="23">
        <f>SUM(E8:E44)</f>
        <v>67.499999999999957</v>
      </c>
      <c r="F45" s="24">
        <f>SUM(F8:F44)</f>
        <v>11840</v>
      </c>
      <c r="G45" s="24">
        <f>SUM(G8:G44)</f>
        <v>10958.000000000002</v>
      </c>
      <c r="H45" s="23">
        <f>SUM(H8:H44)</f>
        <v>215.50000000000011</v>
      </c>
    </row>
  </sheetData>
  <mergeCells count="2">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7"/>
  <sheetViews>
    <sheetView showGridLines="0" workbookViewId="0"/>
  </sheetViews>
  <sheetFormatPr defaultRowHeight="14.4" x14ac:dyDescent="0.3"/>
  <cols>
    <col min="1" max="1" width="42" customWidth="1"/>
    <col min="2" max="2" width="16" customWidth="1"/>
    <col min="3" max="3" width="60" customWidth="1"/>
  </cols>
  <sheetData>
    <row r="1" spans="1:3" ht="18" x14ac:dyDescent="0.35">
      <c r="A1" s="34" t="s">
        <v>198</v>
      </c>
      <c r="B1" s="31"/>
      <c r="C1" s="31"/>
    </row>
    <row r="2" spans="1:3" ht="30" customHeight="1" x14ac:dyDescent="0.3">
      <c r="A2" s="33" t="s">
        <v>199</v>
      </c>
      <c r="B2" s="31"/>
      <c r="C2" s="31"/>
    </row>
    <row r="4" spans="1:3" x14ac:dyDescent="0.3">
      <c r="A4" s="6" t="s">
        <v>54</v>
      </c>
      <c r="B4" s="10">
        <f>Assumptions!$B$20</f>
        <v>37</v>
      </c>
      <c r="C4" s="9"/>
    </row>
    <row r="5" spans="1:3" x14ac:dyDescent="0.3">
      <c r="A5" s="6" t="s">
        <v>57</v>
      </c>
      <c r="B5" s="12">
        <f>Assumptions!$B$21</f>
        <v>18.5</v>
      </c>
      <c r="C5" s="9"/>
    </row>
    <row r="6" spans="1:3" x14ac:dyDescent="0.3">
      <c r="A6" s="6" t="s">
        <v>200</v>
      </c>
      <c r="B6" s="12">
        <f>Assumptions!$B$25</f>
        <v>7.5</v>
      </c>
      <c r="C6" s="9" t="s">
        <v>201</v>
      </c>
    </row>
    <row r="7" spans="1:3" x14ac:dyDescent="0.3">
      <c r="A7" s="6" t="s">
        <v>202</v>
      </c>
      <c r="B7" s="12">
        <f>B5+B6</f>
        <v>26</v>
      </c>
      <c r="C7" s="9" t="s">
        <v>203</v>
      </c>
    </row>
    <row r="9" spans="1:3" x14ac:dyDescent="0.3">
      <c r="A9" s="6" t="s">
        <v>204</v>
      </c>
      <c r="B9" s="14">
        <f>'Revenue by student'!$D$41/Assumptions!$B$17</f>
        <v>16.444444444444443</v>
      </c>
      <c r="C9" s="9" t="s">
        <v>205</v>
      </c>
    </row>
    <row r="10" spans="1:3" x14ac:dyDescent="0.3">
      <c r="A10" s="6" t="s">
        <v>206</v>
      </c>
      <c r="B10" s="14">
        <f>'Revenue by student'!$C$41/Assumptions!$B$17</f>
        <v>32.888888888888886</v>
      </c>
      <c r="C10" s="9"/>
    </row>
    <row r="11" spans="1:3" x14ac:dyDescent="0.3">
      <c r="A11" s="6" t="s">
        <v>207</v>
      </c>
      <c r="B11" s="11">
        <f>IFERROR(B9/B5,0)</f>
        <v>0.88888888888888884</v>
      </c>
      <c r="C11" s="9" t="s">
        <v>208</v>
      </c>
    </row>
    <row r="13" spans="1:3" x14ac:dyDescent="0.3">
      <c r="A13" s="6" t="s">
        <v>209</v>
      </c>
      <c r="B13" s="14">
        <f>'Revenue by student'!$B$41/Assumptions!$B$17</f>
        <v>37</v>
      </c>
      <c r="C13" s="9" t="s">
        <v>210</v>
      </c>
    </row>
    <row r="14" spans="1:3" ht="43.2" x14ac:dyDescent="0.3">
      <c r="A14" s="6" t="s">
        <v>211</v>
      </c>
      <c r="B14" s="11">
        <f>IFERROR(B10/B13,0)</f>
        <v>0.88888888888888884</v>
      </c>
      <c r="C14" s="9" t="s">
        <v>212</v>
      </c>
    </row>
    <row r="16" spans="1:3" x14ac:dyDescent="0.3">
      <c r="A16" s="6" t="s">
        <v>213</v>
      </c>
      <c r="B16" s="7">
        <f>B5*Assumptions!$B$18*Assumptions!$B$9</f>
        <v>53280</v>
      </c>
      <c r="C16" s="9" t="s">
        <v>214</v>
      </c>
    </row>
    <row r="17" spans="1:3" ht="28.8" x14ac:dyDescent="0.3">
      <c r="A17" s="6" t="s">
        <v>215</v>
      </c>
      <c r="B17" s="7">
        <f>'Revenue by student'!$E$41/Assumptions!$B$17*Assumptions!$B$18</f>
        <v>47360</v>
      </c>
      <c r="C17" s="9" t="s">
        <v>216</v>
      </c>
    </row>
  </sheetData>
  <mergeCells count="2">
    <mergeCell ref="A1:C1"/>
    <mergeCell ref="A2:C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1"/>
  <sheetViews>
    <sheetView showGridLines="0" workbookViewId="0"/>
  </sheetViews>
  <sheetFormatPr defaultRowHeight="14.4" x14ac:dyDescent="0.3"/>
  <cols>
    <col min="1" max="1" width="42" customWidth="1"/>
    <col min="2" max="2" width="16" customWidth="1"/>
    <col min="3" max="3" width="55" customWidth="1"/>
  </cols>
  <sheetData>
    <row r="1" spans="1:3" ht="18" x14ac:dyDescent="0.35">
      <c r="A1" s="34" t="s">
        <v>217</v>
      </c>
      <c r="B1" s="31"/>
      <c r="C1" s="31"/>
    </row>
    <row r="3" spans="1:3" x14ac:dyDescent="0.3">
      <c r="A3" s="35" t="s">
        <v>218</v>
      </c>
      <c r="B3" s="36"/>
      <c r="C3" s="37"/>
    </row>
    <row r="4" spans="1:3" x14ac:dyDescent="0.3">
      <c r="A4" s="6" t="s">
        <v>219</v>
      </c>
      <c r="B4" s="7">
        <f>'Revenue by student'!$E$41</f>
        <v>11840</v>
      </c>
      <c r="C4" s="9"/>
    </row>
    <row r="5" spans="1:3" x14ac:dyDescent="0.3">
      <c r="A5" s="6" t="s">
        <v>220</v>
      </c>
      <c r="B5" s="7">
        <f>-'Cost to serve'!$D$45</f>
        <v>-881.99999999999966</v>
      </c>
      <c r="C5" s="9"/>
    </row>
    <row r="6" spans="1:3" x14ac:dyDescent="0.3">
      <c r="A6" s="21" t="s">
        <v>221</v>
      </c>
      <c r="B6" s="24">
        <f>B4+B5</f>
        <v>10958</v>
      </c>
      <c r="C6" s="9"/>
    </row>
    <row r="7" spans="1:3" x14ac:dyDescent="0.3">
      <c r="A7" s="6" t="s">
        <v>222</v>
      </c>
      <c r="B7" s="7">
        <f>B6*Assumptions!$B$12</f>
        <v>1369.75</v>
      </c>
      <c r="C7" s="9"/>
    </row>
    <row r="8" spans="1:3" x14ac:dyDescent="0.3">
      <c r="A8" s="6" t="s">
        <v>223</v>
      </c>
      <c r="B8" s="7">
        <f>B6-B7</f>
        <v>9588.25</v>
      </c>
      <c r="C8" s="9"/>
    </row>
    <row r="9" spans="1:3" x14ac:dyDescent="0.3">
      <c r="A9" s="6" t="s">
        <v>224</v>
      </c>
      <c r="B9" s="7">
        <f>B8*Assumptions!$B$13</f>
        <v>1917.65</v>
      </c>
      <c r="C9" s="9" t="s">
        <v>225</v>
      </c>
    </row>
    <row r="10" spans="1:3" x14ac:dyDescent="0.3">
      <c r="A10" s="21" t="s">
        <v>226</v>
      </c>
      <c r="B10" s="24">
        <f>B6-B7-B9</f>
        <v>7670.6</v>
      </c>
      <c r="C10" s="9"/>
    </row>
    <row r="13" spans="1:3" ht="30" customHeight="1" x14ac:dyDescent="0.3">
      <c r="A13" s="35" t="s">
        <v>227</v>
      </c>
      <c r="B13" s="36"/>
      <c r="C13" s="37"/>
    </row>
    <row r="14" spans="1:3" ht="28.8" x14ac:dyDescent="0.3">
      <c r="A14" s="26" t="s">
        <v>228</v>
      </c>
      <c r="B14" s="14">
        <f>Assumptions!$B$18/Assumptions!$B$17</f>
        <v>4</v>
      </c>
      <c r="C14" s="6"/>
    </row>
    <row r="15" spans="1:3" x14ac:dyDescent="0.3">
      <c r="A15" s="6" t="s">
        <v>219</v>
      </c>
      <c r="B15" s="7">
        <f t="shared" ref="B15:B21" si="0">B4*$B$14</f>
        <v>47360</v>
      </c>
    </row>
    <row r="16" spans="1:3" x14ac:dyDescent="0.3">
      <c r="A16" s="6" t="s">
        <v>220</v>
      </c>
      <c r="B16" s="7">
        <f t="shared" si="0"/>
        <v>-3527.9999999999986</v>
      </c>
    </row>
    <row r="17" spans="1:2" x14ac:dyDescent="0.3">
      <c r="A17" s="21" t="s">
        <v>221</v>
      </c>
      <c r="B17" s="24">
        <f t="shared" si="0"/>
        <v>43832</v>
      </c>
    </row>
    <row r="18" spans="1:2" x14ac:dyDescent="0.3">
      <c r="A18" s="6" t="s">
        <v>222</v>
      </c>
      <c r="B18" s="7">
        <f t="shared" si="0"/>
        <v>5479</v>
      </c>
    </row>
    <row r="19" spans="1:2" x14ac:dyDescent="0.3">
      <c r="A19" s="6" t="s">
        <v>223</v>
      </c>
      <c r="B19" s="7">
        <f t="shared" si="0"/>
        <v>38353</v>
      </c>
    </row>
    <row r="20" spans="1:2" x14ac:dyDescent="0.3">
      <c r="A20" s="6" t="s">
        <v>224</v>
      </c>
      <c r="B20" s="7">
        <f t="shared" si="0"/>
        <v>7670.6</v>
      </c>
    </row>
    <row r="21" spans="1:2" x14ac:dyDescent="0.3">
      <c r="A21" s="21" t="s">
        <v>229</v>
      </c>
      <c r="B21" s="24">
        <f t="shared" si="0"/>
        <v>30682.400000000001</v>
      </c>
    </row>
  </sheetData>
  <mergeCells count="3">
    <mergeCell ref="A1:C1"/>
    <mergeCell ref="A13:C13"/>
    <mergeCell ref="A3:C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6"/>
  <sheetViews>
    <sheetView showGridLines="0" workbookViewId="0"/>
  </sheetViews>
  <sheetFormatPr defaultRowHeight="14.4" x14ac:dyDescent="0.3"/>
  <cols>
    <col min="1" max="1" width="34" customWidth="1"/>
    <col min="2" max="4" width="20" customWidth="1"/>
  </cols>
  <sheetData>
    <row r="1" spans="1:4" ht="18" x14ac:dyDescent="0.35">
      <c r="A1" s="34" t="s">
        <v>230</v>
      </c>
      <c r="B1" s="31"/>
      <c r="C1" s="31"/>
      <c r="D1" s="31"/>
    </row>
    <row r="2" spans="1:4" ht="45" customHeight="1" x14ac:dyDescent="0.3">
      <c r="A2" s="33" t="s">
        <v>231</v>
      </c>
      <c r="B2" s="31"/>
      <c r="C2" s="31"/>
      <c r="D2" s="31"/>
    </row>
    <row r="4" spans="1:4" ht="28.8" x14ac:dyDescent="0.3">
      <c r="A4" s="5"/>
      <c r="B4" s="5" t="s">
        <v>232</v>
      </c>
      <c r="C4" s="5" t="s">
        <v>233</v>
      </c>
      <c r="D4" s="5" t="s">
        <v>234</v>
      </c>
    </row>
    <row r="5" spans="1:4" x14ac:dyDescent="0.3">
      <c r="A5" s="6" t="s">
        <v>235</v>
      </c>
      <c r="B5" s="14">
        <f>Capacity!$B$10</f>
        <v>32.888888888888886</v>
      </c>
      <c r="C5" s="14">
        <f>B5*Assumptions!$B$36</f>
        <v>42.755555555555553</v>
      </c>
      <c r="D5" s="14">
        <f>B5*Assumptions!$B$38</f>
        <v>27.955555555555552</v>
      </c>
    </row>
    <row r="6" spans="1:4" x14ac:dyDescent="0.3">
      <c r="A6" s="6" t="s">
        <v>236</v>
      </c>
      <c r="B6" s="7">
        <f>Assumptions!$B$7</f>
        <v>40</v>
      </c>
      <c r="C6" s="7">
        <f>Assumptions!$B$7</f>
        <v>40</v>
      </c>
      <c r="D6" s="7">
        <f>Assumptions!$B$7*Assumptions!$B$37</f>
        <v>50</v>
      </c>
    </row>
    <row r="7" spans="1:4" x14ac:dyDescent="0.3">
      <c r="A7" s="21" t="s">
        <v>237</v>
      </c>
      <c r="B7" s="24">
        <f>B5*Assumptions!$B$18*B6</f>
        <v>47360</v>
      </c>
      <c r="C7" s="24">
        <f>C5*Assumptions!$B$18*C6</f>
        <v>61567.999999999993</v>
      </c>
      <c r="D7" s="24">
        <f>D5*Assumptions!$B$18*D6</f>
        <v>50319.999999999993</v>
      </c>
    </row>
    <row r="8" spans="1:4" x14ac:dyDescent="0.3">
      <c r="A8" s="6" t="s">
        <v>238</v>
      </c>
      <c r="B8" s="7">
        <f>Assumptions!$B$32*Assumptions!$B$18</f>
        <v>3528</v>
      </c>
      <c r="C8" s="7">
        <f>Assumptions!$B$32*Assumptions!$B$18</f>
        <v>3528</v>
      </c>
      <c r="D8" s="7">
        <f>Assumptions!$B$32*Assumptions!$B$18</f>
        <v>3528</v>
      </c>
    </row>
    <row r="9" spans="1:4" x14ac:dyDescent="0.3">
      <c r="A9" s="21" t="s">
        <v>239</v>
      </c>
      <c r="B9" s="24">
        <f>B7-B8</f>
        <v>43832</v>
      </c>
      <c r="C9" s="24">
        <f>C7-C8</f>
        <v>58039.999999999993</v>
      </c>
      <c r="D9" s="24">
        <f>D7-D8</f>
        <v>46791.999999999993</v>
      </c>
    </row>
    <row r="10" spans="1:4" x14ac:dyDescent="0.3">
      <c r="A10" s="6" t="s">
        <v>240</v>
      </c>
      <c r="B10" s="7">
        <f>B9*Assumptions!$B$12</f>
        <v>5479</v>
      </c>
      <c r="C10" s="7">
        <f>C9*Assumptions!$B$12</f>
        <v>7254.9999999999991</v>
      </c>
      <c r="D10" s="7">
        <f>D9*Assumptions!$B$12</f>
        <v>5848.9999999999991</v>
      </c>
    </row>
    <row r="11" spans="1:4" x14ac:dyDescent="0.3">
      <c r="A11" s="6" t="s">
        <v>241</v>
      </c>
      <c r="B11" s="7">
        <f>B9-B10</f>
        <v>38353</v>
      </c>
      <c r="C11" s="7">
        <f>C9-C10</f>
        <v>50784.999999999993</v>
      </c>
      <c r="D11" s="7">
        <f>D9-D10</f>
        <v>40942.999999999993</v>
      </c>
    </row>
    <row r="12" spans="1:4" x14ac:dyDescent="0.3">
      <c r="A12" s="6" t="s">
        <v>242</v>
      </c>
      <c r="B12" s="7">
        <f>B11*Assumptions!$B$13</f>
        <v>7670.6</v>
      </c>
      <c r="C12" s="7">
        <f>C11*Assumptions!$B$13</f>
        <v>10157</v>
      </c>
      <c r="D12" s="7">
        <f>D11*Assumptions!$B$13</f>
        <v>8188.5999999999985</v>
      </c>
    </row>
    <row r="13" spans="1:4" x14ac:dyDescent="0.3">
      <c r="A13" s="21" t="s">
        <v>243</v>
      </c>
      <c r="B13" s="24">
        <f>B9-B10-B12</f>
        <v>30682.400000000001</v>
      </c>
      <c r="C13" s="24">
        <f>C9-C10-C12</f>
        <v>40627.999999999993</v>
      </c>
      <c r="D13" s="24">
        <f>D9-D10-D12</f>
        <v>32754.399999999994</v>
      </c>
    </row>
    <row r="15" spans="1:4" ht="30" customHeight="1" x14ac:dyDescent="0.3">
      <c r="A15" s="25" t="s">
        <v>244</v>
      </c>
      <c r="B15" s="20" t="str">
        <f>CHOOSE(Assumptions!$B$35,B4,C4,D4)</f>
        <v>1. Base (actual)</v>
      </c>
    </row>
    <row r="16" spans="1:4" x14ac:dyDescent="0.3">
      <c r="A16" s="25" t="s">
        <v>245</v>
      </c>
      <c r="B16" s="24">
        <f>CHOOSE(Assumptions!$B$35,B13,C13,D13)</f>
        <v>30682.400000000001</v>
      </c>
    </row>
  </sheetData>
  <mergeCells count="2">
    <mergeCell ref="A1:D1"/>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
  <sheetViews>
    <sheetView showGridLines="0" workbookViewId="0"/>
  </sheetViews>
  <sheetFormatPr defaultRowHeight="14.4" x14ac:dyDescent="0.3"/>
  <cols>
    <col min="1" max="1" width="36" customWidth="1"/>
    <col min="2" max="2" width="16" customWidth="1"/>
    <col min="3" max="7" width="14" customWidth="1"/>
  </cols>
  <sheetData>
    <row r="1" spans="1:7" ht="18" x14ac:dyDescent="0.35">
      <c r="A1" s="34" t="s">
        <v>246</v>
      </c>
      <c r="B1" s="31"/>
      <c r="C1" s="31"/>
      <c r="D1" s="31"/>
      <c r="E1" s="31"/>
      <c r="F1" s="31"/>
      <c r="G1" s="31"/>
    </row>
    <row r="2" spans="1:7" ht="30" customHeight="1" x14ac:dyDescent="0.3">
      <c r="A2" s="33" t="s">
        <v>247</v>
      </c>
      <c r="B2" s="31"/>
      <c r="C2" s="31"/>
      <c r="D2" s="31"/>
      <c r="E2" s="31"/>
      <c r="F2" s="31"/>
      <c r="G2" s="31"/>
    </row>
    <row r="4" spans="1:7" x14ac:dyDescent="0.3">
      <c r="A4" s="27" t="s">
        <v>248</v>
      </c>
      <c r="B4" s="19">
        <f>'P&amp;L and provisioning'!$B$15</f>
        <v>47360</v>
      </c>
    </row>
    <row r="5" spans="1:7" x14ac:dyDescent="0.3">
      <c r="A5" s="27" t="s">
        <v>249</v>
      </c>
      <c r="B5" s="19">
        <f>ABS('P&amp;L and provisioning'!$B$16)</f>
        <v>3527.9999999999986</v>
      </c>
    </row>
    <row r="7" spans="1:7" x14ac:dyDescent="0.3">
      <c r="A7" s="5" t="s">
        <v>250</v>
      </c>
      <c r="B7" s="5"/>
      <c r="C7" s="28">
        <v>0.9</v>
      </c>
      <c r="D7" s="28">
        <v>0.95</v>
      </c>
      <c r="E7" s="28">
        <v>1</v>
      </c>
      <c r="F7" s="28">
        <v>1.05</v>
      </c>
      <c r="G7" s="28">
        <v>1.1000000000000001</v>
      </c>
    </row>
    <row r="8" spans="1:7" x14ac:dyDescent="0.3">
      <c r="A8" s="38" t="s">
        <v>251</v>
      </c>
      <c r="B8" s="29">
        <v>0.8</v>
      </c>
      <c r="C8" s="7">
        <f>(($B$4*$B8*C$7)-$B$5)*(1-Assumptions!$B$12)*(1-Assumptions!$B$13)</f>
        <v>21399.840000000004</v>
      </c>
      <c r="D8" s="7">
        <f>(($B$4*$B8*D$7)-$B$5)*(1-Assumptions!$B$12)*(1-Assumptions!$B$13)</f>
        <v>22725.919999999998</v>
      </c>
      <c r="E8" s="7">
        <f>(($B$4*$B8*E$7)-$B$5)*(1-Assumptions!$B$12)*(1-Assumptions!$B$13)</f>
        <v>24052</v>
      </c>
      <c r="F8" s="7">
        <f>(($B$4*$B8*F$7)-$B$5)*(1-Assumptions!$B$12)*(1-Assumptions!$B$13)</f>
        <v>25378.080000000002</v>
      </c>
      <c r="G8" s="7">
        <f>(($B$4*$B8*G$7)-$B$5)*(1-Assumptions!$B$12)*(1-Assumptions!$B$13)</f>
        <v>26704.160000000003</v>
      </c>
    </row>
    <row r="9" spans="1:7" x14ac:dyDescent="0.3">
      <c r="A9" s="31"/>
      <c r="B9" s="29">
        <v>0.9</v>
      </c>
      <c r="C9" s="7">
        <f>(($B$4*$B9*C$7)-$B$5)*(1-Assumptions!$B$12)*(1-Assumptions!$B$13)</f>
        <v>24383.52</v>
      </c>
      <c r="D9" s="7">
        <f>(($B$4*$B9*D$7)-$B$5)*(1-Assumptions!$B$12)*(1-Assumptions!$B$13)</f>
        <v>25875.360000000001</v>
      </c>
      <c r="E9" s="7">
        <f>(($B$4*$B9*E$7)-$B$5)*(1-Assumptions!$B$12)*(1-Assumptions!$B$13)</f>
        <v>27367.200000000001</v>
      </c>
      <c r="F9" s="7">
        <f>(($B$4*$B9*F$7)-$B$5)*(1-Assumptions!$B$12)*(1-Assumptions!$B$13)</f>
        <v>28859.040000000005</v>
      </c>
      <c r="G9" s="7">
        <f>(($B$4*$B9*G$7)-$B$5)*(1-Assumptions!$B$12)*(1-Assumptions!$B$13)</f>
        <v>30350.880000000001</v>
      </c>
    </row>
    <row r="10" spans="1:7" x14ac:dyDescent="0.3">
      <c r="A10" s="31"/>
      <c r="B10" s="29">
        <v>1</v>
      </c>
      <c r="C10" s="7">
        <f>(($B$4*$B10*C$7)-$B$5)*(1-Assumptions!$B$12)*(1-Assumptions!$B$13)</f>
        <v>27367.200000000001</v>
      </c>
      <c r="D10" s="7">
        <f>(($B$4*$B10*D$7)-$B$5)*(1-Assumptions!$B$12)*(1-Assumptions!$B$13)</f>
        <v>29024.800000000003</v>
      </c>
      <c r="E10" s="7">
        <f>(($B$4*$B10*E$7)-$B$5)*(1-Assumptions!$B$12)*(1-Assumptions!$B$13)</f>
        <v>30682.400000000001</v>
      </c>
      <c r="F10" s="7">
        <f>(($B$4*$B10*F$7)-$B$5)*(1-Assumptions!$B$12)*(1-Assumptions!$B$13)</f>
        <v>32340</v>
      </c>
      <c r="G10" s="7">
        <f>(($B$4*$B10*G$7)-$B$5)*(1-Assumptions!$B$12)*(1-Assumptions!$B$13)</f>
        <v>33997.600000000006</v>
      </c>
    </row>
    <row r="11" spans="1:7" x14ac:dyDescent="0.3">
      <c r="A11" s="31"/>
      <c r="B11" s="29">
        <v>1.1000000000000001</v>
      </c>
      <c r="C11" s="7">
        <f>(($B$4*$B11*C$7)-$B$5)*(1-Assumptions!$B$12)*(1-Assumptions!$B$13)</f>
        <v>30350.880000000005</v>
      </c>
      <c r="D11" s="7">
        <f>(($B$4*$B11*D$7)-$B$5)*(1-Assumptions!$B$12)*(1-Assumptions!$B$13)</f>
        <v>32174.240000000005</v>
      </c>
      <c r="E11" s="7">
        <f>(($B$4*$B11*E$7)-$B$5)*(1-Assumptions!$B$12)*(1-Assumptions!$B$13)</f>
        <v>33997.600000000006</v>
      </c>
      <c r="F11" s="7">
        <f>(($B$4*$B11*F$7)-$B$5)*(1-Assumptions!$B$12)*(1-Assumptions!$B$13)</f>
        <v>35820.960000000014</v>
      </c>
      <c r="G11" s="7">
        <f>(($B$4*$B11*G$7)-$B$5)*(1-Assumptions!$B$12)*(1-Assumptions!$B$13)</f>
        <v>37644.320000000007</v>
      </c>
    </row>
    <row r="12" spans="1:7" x14ac:dyDescent="0.3">
      <c r="A12" s="31"/>
      <c r="B12" s="29">
        <v>1.2</v>
      </c>
      <c r="C12" s="7">
        <f>(($B$4*$B12*C$7)-$B$5)*(1-Assumptions!$B$12)*(1-Assumptions!$B$13)</f>
        <v>33334.560000000005</v>
      </c>
      <c r="D12" s="7">
        <f>(($B$4*$B12*D$7)-$B$5)*(1-Assumptions!$B$12)*(1-Assumptions!$B$13)</f>
        <v>35323.679999999993</v>
      </c>
      <c r="E12" s="7">
        <f>(($B$4*$B12*E$7)-$B$5)*(1-Assumptions!$B$12)*(1-Assumptions!$B$13)</f>
        <v>37312.800000000003</v>
      </c>
      <c r="F12" s="7">
        <f>(($B$4*$B12*F$7)-$B$5)*(1-Assumptions!$B$12)*(1-Assumptions!$B$13)</f>
        <v>39301.920000000013</v>
      </c>
      <c r="G12" s="7">
        <f>(($B$4*$B12*G$7)-$B$5)*(1-Assumptions!$B$12)*(1-Assumptions!$B$13)</f>
        <v>41291.040000000008</v>
      </c>
    </row>
  </sheetData>
  <mergeCells count="3">
    <mergeCell ref="A2:G2"/>
    <mergeCell ref="A8:A12"/>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Assumptions</vt:lpstr>
      <vt:lpstr>Data</vt:lpstr>
      <vt:lpstr>Revenue by student</vt:lpstr>
      <vt:lpstr>Cost to serve</vt:lpstr>
      <vt:lpstr>Capacity</vt:lpstr>
      <vt:lpstr>P&amp;L and provisioning</vt:lpstr>
      <vt:lpstr>Scenarios</vt:lpstr>
      <vt:lpstr>Sensitivity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Mountstephens</cp:lastModifiedBy>
  <dcterms:created xsi:type="dcterms:W3CDTF">2026-08-21T04:45:05Z</dcterms:created>
  <dcterms:modified xsi:type="dcterms:W3CDTF">2026-08-21T04:45:06Z</dcterms:modified>
</cp:coreProperties>
</file>